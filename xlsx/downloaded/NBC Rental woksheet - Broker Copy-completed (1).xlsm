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showInkAnnotation="0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cbncnbccs-my.sharepoint.com/personal/trupti_patel_nbc_ca/Documents/Documents/"/>
    </mc:Choice>
  </mc:AlternateContent>
  <xr:revisionPtr revIDLastSave="0" documentId="8_{DB378892-4B52-4A5A-8EA2-B8D91C55E8A9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Non-Subject Rental DCR" sheetId="87" r:id="rId1"/>
    <sheet name="Sheet1" sheetId="37" state="hidden" r:id="rId2"/>
  </sheets>
  <externalReferences>
    <externalReference r:id="rId3"/>
  </externalReferences>
  <definedNames>
    <definedName name="_xleta.IF" hidden="1" xlm="1">#NAME?</definedName>
    <definedName name="_xleta.MIN" hidden="1" xlm="1">#NAME?</definedName>
    <definedName name="_xleta.SUM" hidden="1" xlm="1">#NAME?</definedName>
    <definedName name="BDMlist">Sheet1!$D$28:INDEX(Sheet1!$D$28:$D$47,MAX(Sheet1!$C$28:$C$47),1)</definedName>
    <definedName name="BDMlist2">[1]Sheet1!$D$28:INDEX([1]Sheet1!$D$28:$D$47,MAX([1]Sheet1!$C$28:$C$47),1)</definedName>
    <definedName name="UWlist">Sheet1!#REF!:INDEX(Sheet1!#REF!,MAX(Sheet1!#REF!),1)</definedName>
  </definedNames>
  <calcPr calcMode="auto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G:\Les Shore\Broker Partners\Maximizer Exports\MaxList.accdb" keepAlive="1" name="MaxList" type="5" refreshedVersion="4" background="1" saveData="1">
    <dbPr connection="Provider=Microsoft.ACE.OLEDB.12.0;User ID=Admin;Data Source=G:\Les Shore\Broker Partners\Maximizer Exports\MaxList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Address Book" commandType="3"/>
  </connection>
</connections>
</file>

<file path=xl/sharedStrings.xml><?xml version="1.0" encoding="utf-8"?>
<sst xmlns="http://schemas.openxmlformats.org/spreadsheetml/2006/main" count="271" uniqueCount="199">
  <si>
    <t>Choose an Option</t>
  </si>
  <si>
    <t>AB</t>
  </si>
  <si>
    <t>ON/BC/NB</t>
  </si>
  <si>
    <t>Others</t>
  </si>
  <si>
    <t>Interest Rate (%)</t>
  </si>
  <si>
    <t>Condo Fees (If Applicable)</t>
  </si>
  <si>
    <t>Term (months)</t>
  </si>
  <si>
    <t>Amortization (months)</t>
  </si>
  <si>
    <t>Monthly Payment</t>
  </si>
  <si>
    <t>Qualifying Payment Calculator for Non-Subject HELOCs</t>
  </si>
  <si>
    <t>Debt coverage ratio calculator</t>
  </si>
  <si>
    <t>Limit Amount</t>
  </si>
  <si>
    <t>Property Address 1</t>
  </si>
  <si>
    <t>Property Address 2</t>
  </si>
  <si>
    <t>Property Address 3</t>
  </si>
  <si>
    <t>Property Address 4</t>
  </si>
  <si>
    <t>Property Address 5</t>
  </si>
  <si>
    <t>Property Address 6</t>
  </si>
  <si>
    <t>Property Address 7</t>
  </si>
  <si>
    <t>Property Address 8</t>
  </si>
  <si>
    <t>Select Province for each property for the applicable Vacancy Rate</t>
  </si>
  <si>
    <r>
      <t xml:space="preserve">**Fill out white cells only**
</t>
    </r>
    <r>
      <rPr>
        <b/>
        <i/>
        <sz val="11"/>
        <color theme="0"/>
        <rFont val="Calibri"/>
        <family val="2"/>
        <scheme val="minor"/>
      </rPr>
      <t xml:space="preserve">(All figures based on </t>
    </r>
    <r>
      <rPr>
        <b/>
        <i/>
        <u/>
        <sz val="11"/>
        <color theme="0"/>
        <rFont val="Calibri"/>
        <family val="2"/>
        <scheme val="minor"/>
      </rPr>
      <t>monthly</t>
    </r>
    <r>
      <rPr>
        <b/>
        <i/>
        <sz val="11"/>
        <color theme="0"/>
        <rFont val="Calibri"/>
        <family val="2"/>
        <scheme val="minor"/>
      </rPr>
      <t xml:space="preserve"> frequency)</t>
    </r>
  </si>
  <si>
    <t>Mortgage Lender</t>
  </si>
  <si>
    <t>Property values</t>
  </si>
  <si>
    <t>1st mortgage balance outstanding</t>
  </si>
  <si>
    <t>2nd mortgage balance outstanding (if applicable)</t>
  </si>
  <si>
    <t>Rental income</t>
  </si>
  <si>
    <t>1st mortgage payment</t>
  </si>
  <si>
    <t>2nd mortgage payment (if applicable)</t>
  </si>
  <si>
    <t>Property Tax</t>
  </si>
  <si>
    <t>Condo fees (if applicable)</t>
  </si>
  <si>
    <t>Maintenance (5% of income)</t>
  </si>
  <si>
    <t>Insurance/management fees (10% of income)</t>
  </si>
  <si>
    <t>Total costs</t>
  </si>
  <si>
    <t>Debt coverage ratio (DCR)</t>
  </si>
  <si>
    <t>Surplus/shortfall</t>
  </si>
  <si>
    <t>Loan-to-value (LTV)</t>
  </si>
  <si>
    <t>Equity in property</t>
  </si>
  <si>
    <t>*Shortfall is based on any DCR &lt; 1.00</t>
  </si>
  <si>
    <t>Vacancy Rates Used:  AB - 5%  //  ON/BC/NB – 4% //  Others - 3%</t>
  </si>
  <si>
    <t>Document Required</t>
  </si>
  <si>
    <t>Notes</t>
  </si>
  <si>
    <t>Property Tax Bill</t>
  </si>
  <si>
    <t>Mortgage/HELOC Statement</t>
  </si>
  <si>
    <t xml:space="preserve">Lease Agreement </t>
  </si>
  <si>
    <t>3 months bank statement</t>
  </si>
  <si>
    <t>Market Rents</t>
  </si>
  <si>
    <t>A</t>
  </si>
  <si>
    <t>Yes</t>
  </si>
  <si>
    <t>No</t>
  </si>
  <si>
    <t>HW UW</t>
  </si>
  <si>
    <t>UW email</t>
  </si>
  <si>
    <t>Column1</t>
  </si>
  <si>
    <t>Barb</t>
  </si>
  <si>
    <t>barbara.petz@cwbank.com</t>
  </si>
  <si>
    <t>Anne</t>
  </si>
  <si>
    <t>anne.degraaf@cwbank.com</t>
  </si>
  <si>
    <t>VIP</t>
  </si>
  <si>
    <t>Hazel</t>
  </si>
  <si>
    <t>hazel.paquette@cwbank.com</t>
  </si>
  <si>
    <t>Arun</t>
  </si>
  <si>
    <t>arun.ravindran@cwbank.com</t>
  </si>
  <si>
    <t>Purchase - Owner Occupied</t>
  </si>
  <si>
    <t>PREFERED</t>
  </si>
  <si>
    <t>Monthly</t>
  </si>
  <si>
    <t>Kendra</t>
  </si>
  <si>
    <t>Kendra.Spezowka@cwbank.com</t>
  </si>
  <si>
    <t>B</t>
  </si>
  <si>
    <t>Purchase - Revenue</t>
  </si>
  <si>
    <t>PARTNER</t>
  </si>
  <si>
    <t>Semi-Monthly</t>
  </si>
  <si>
    <t>Kristina</t>
  </si>
  <si>
    <t>kristina.reinbold@cwbank.com</t>
  </si>
  <si>
    <t>Brianna</t>
  </si>
  <si>
    <t>brianna.isaacs@cwbank.com</t>
  </si>
  <si>
    <t>C</t>
  </si>
  <si>
    <t xml:space="preserve">Refinance - Owner Occupied </t>
  </si>
  <si>
    <t>NON-PARTNER</t>
  </si>
  <si>
    <t>Bi-Weekly</t>
  </si>
  <si>
    <t>Linda</t>
  </si>
  <si>
    <t>linda.charest@cwbank.com</t>
  </si>
  <si>
    <t>Darren</t>
  </si>
  <si>
    <t>darren.schienbein@cwbank.com</t>
  </si>
  <si>
    <t>Refinance - Revenue</t>
  </si>
  <si>
    <t>N/A</t>
  </si>
  <si>
    <t>Julius</t>
  </si>
  <si>
    <t>julius.ylagan@cwbank.com</t>
  </si>
  <si>
    <t>Donovan</t>
  </si>
  <si>
    <t>donovan.williams@cwbank.com</t>
  </si>
  <si>
    <t>Purchase - Second Home</t>
  </si>
  <si>
    <t>Polly</t>
  </si>
  <si>
    <t>polly.fan@cwbank.com</t>
  </si>
  <si>
    <t>Emily</t>
  </si>
  <si>
    <t>emily.mclaughlin@cwbank.com</t>
  </si>
  <si>
    <t>Refinance - Second Home</t>
  </si>
  <si>
    <t xml:space="preserve">Hazel </t>
  </si>
  <si>
    <t>ATB</t>
  </si>
  <si>
    <t>Existing Client - Internal Refi</t>
  </si>
  <si>
    <t>Henry</t>
  </si>
  <si>
    <t>henry.wilson@cwbank.com</t>
  </si>
  <si>
    <t>CIBC</t>
  </si>
  <si>
    <t>Existing Client - Purchase</t>
  </si>
  <si>
    <t>Iris</t>
  </si>
  <si>
    <t>iris.boettcher@cwbank.com</t>
  </si>
  <si>
    <t>MANULIFE</t>
  </si>
  <si>
    <t>Transfer</t>
  </si>
  <si>
    <t>1st</t>
  </si>
  <si>
    <t>SFD</t>
  </si>
  <si>
    <t>Accepted</t>
  </si>
  <si>
    <t>Jill</t>
  </si>
  <si>
    <t>jill.davies@cwbank.com</t>
  </si>
  <si>
    <t>RBC</t>
  </si>
  <si>
    <t>2nd</t>
  </si>
  <si>
    <t>Condo</t>
  </si>
  <si>
    <t>Waived</t>
  </si>
  <si>
    <t>Jonathan</t>
  </si>
  <si>
    <t>Jonathan.Lee@cwbank.com</t>
  </si>
  <si>
    <t>WFG</t>
  </si>
  <si>
    <t>Duplex</t>
  </si>
  <si>
    <t>Townhome</t>
  </si>
  <si>
    <t>Liane</t>
  </si>
  <si>
    <t>liane.geiger@cwbank.com</t>
  </si>
  <si>
    <t>Martene</t>
  </si>
  <si>
    <t>martene.woodward@cwbank.com</t>
  </si>
  <si>
    <t>Megan</t>
  </si>
  <si>
    <t>megan.godby@cwbank.com</t>
  </si>
  <si>
    <t>BDM</t>
  </si>
  <si>
    <t>Column2</t>
  </si>
  <si>
    <t>Column3</t>
  </si>
  <si>
    <t>BDM Email</t>
  </si>
  <si>
    <t>Parth</t>
  </si>
  <si>
    <t>parth.shah@cwbank.com</t>
  </si>
  <si>
    <t>Etti</t>
  </si>
  <si>
    <t>etti.sugar@cwbank.com</t>
  </si>
  <si>
    <t>Heather W</t>
  </si>
  <si>
    <t>heather.wytinck@cwbank.com</t>
  </si>
  <si>
    <t>Saroja</t>
  </si>
  <si>
    <t>saroja.kaler@cwbank.com</t>
  </si>
  <si>
    <t>Heather.S</t>
  </si>
  <si>
    <t>heather.scarlett@cwbank.com</t>
  </si>
  <si>
    <t>Stephanie</t>
  </si>
  <si>
    <t>stephanie.morrison@cwbank.com</t>
  </si>
  <si>
    <t>Jackie</t>
  </si>
  <si>
    <t>jackie.matthew@cwbank.com</t>
  </si>
  <si>
    <t>Tom</t>
  </si>
  <si>
    <t>thomas.squires@cwbank.com</t>
  </si>
  <si>
    <t>Joe</t>
  </si>
  <si>
    <t>Joe.Foggetti@cwbank.com</t>
  </si>
  <si>
    <t>Victoria</t>
  </si>
  <si>
    <t>victoria.cross@cwbank.com</t>
  </si>
  <si>
    <t>Josie</t>
  </si>
  <si>
    <t>josie.hettinga@cwbank.com</t>
  </si>
  <si>
    <t>Kris</t>
  </si>
  <si>
    <t>Kris.Power@cwbank.com</t>
  </si>
  <si>
    <t>EDD</t>
  </si>
  <si>
    <t>Matthew</t>
  </si>
  <si>
    <t>matt.sherriff@cwbank.com</t>
  </si>
  <si>
    <t>Competitor Intel</t>
  </si>
  <si>
    <t>Michael</t>
  </si>
  <si>
    <t>michael.huynh@cwbank.com</t>
  </si>
  <si>
    <t>EDD and Competitor Intel</t>
  </si>
  <si>
    <t>Broker Relative Submission</t>
  </si>
  <si>
    <t>Ravi</t>
  </si>
  <si>
    <t>ravi.rodrigo@cwbank.com</t>
  </si>
  <si>
    <t>Sammie</t>
  </si>
  <si>
    <t>sammie.tse@cwbank.com</t>
  </si>
  <si>
    <t>Preferred</t>
  </si>
  <si>
    <t>Stephanie.MacRae@cwbank.com</t>
  </si>
  <si>
    <t>Partner</t>
  </si>
  <si>
    <t xml:space="preserve">Susan </t>
  </si>
  <si>
    <t>susan.fidgen@cwbank.com</t>
  </si>
  <si>
    <t>Kare</t>
  </si>
  <si>
    <t>Doc with Thinkflag (choose if applicable)</t>
  </si>
  <si>
    <t>Tammy</t>
  </si>
  <si>
    <t>Tammy.Stupack@cwbank.com</t>
  </si>
  <si>
    <t>Non-Partner</t>
  </si>
  <si>
    <t>Income Verification</t>
  </si>
  <si>
    <t>Tom.Taylor@cwbank.com</t>
  </si>
  <si>
    <t>BFS Vs Salaried</t>
  </si>
  <si>
    <t>Trupti</t>
  </si>
  <si>
    <t>Trupti.Patel@cwbank.com</t>
  </si>
  <si>
    <t>Approved</t>
  </si>
  <si>
    <t>Credit Bureau Changes</t>
  </si>
  <si>
    <t>Probationary</t>
  </si>
  <si>
    <t>Insufficient</t>
  </si>
  <si>
    <t>Gift Letter</t>
  </si>
  <si>
    <t>Outstanding</t>
  </si>
  <si>
    <t>Bank Statement</t>
  </si>
  <si>
    <t>Offer of Purchase</t>
  </si>
  <si>
    <t>BC/AB/SK/MB</t>
  </si>
  <si>
    <t>Multiple Red Flags (identified)</t>
  </si>
  <si>
    <t>ON</t>
  </si>
  <si>
    <t>Annual</t>
  </si>
  <si>
    <t>Appraisal</t>
  </si>
  <si>
    <t>Mortgage Only</t>
  </si>
  <si>
    <t>Pay Stub</t>
  </si>
  <si>
    <t>Mortgage &amp; HELOC</t>
  </si>
  <si>
    <t>HELOC Only</t>
  </si>
  <si>
    <t>Weekly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</si>
</sst>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&quot;$&quot;#,##0"/>
    <numFmt numFmtId="166" formatCode="0.0%"/>
    <numFmt numFmtId="167" formatCode="0.0000"/>
  </numFmts>
  <fonts count="32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u/>
      <sz val="22"/>
      <color theme="1"/>
      <name val="Calibri"/>
      <family val="2"/>
      <scheme val="minor"/>
    </font>
    <font>
      <b/>
      <sz val="10"/>
      <color theme="0"/>
      <name val="Garamond"/>
      <family val="1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9"/>
      <color theme="1"/>
      <name val="Century Gothic"/>
      <family val="2"/>
    </font>
    <font>
      <sz val="9"/>
      <color theme="1"/>
      <name val="Century Gothic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name val="Calibri"/>
      <family val="2"/>
      <scheme val="minor"/>
    </font>
    <font>
      <sz val="10"/>
      <color indexed="23"/>
      <name val="Arial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i/>
      <u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i/>
      <u/>
      <sz val="11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b/>
      <sz val="11"/>
      <color theme="0"/>
      <name val="Calibri"/>
      <family val="2"/>
    </font>
    <font>
      <b/>
      <sz val="12"/>
      <color theme="0"/>
      <name val="Calbri"/>
    </font>
  </fonts>
  <fills count="9">
    <fill>
      <patternFill patternType="none"/>
    </fill>
    <fill>
      <patternFill patternType="gray125"/>
    </fill>
    <fill>
      <patternFill patternType="solid">
        <fgColor rgb="FF009AA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7">
    <xf numFmtId="0" fontId="0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/>
    <xf numFmtId="0" fontId="2" fillId="0" borderId="0"/>
    <xf numFmtId="0" fontId="3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5" fillId="0" borderId="0"/>
    <xf numFmtId="164" fontId="3" fillId="0" borderId="0" applyFont="0" applyFill="0" applyBorder="0" applyAlignment="0" applyProtection="0"/>
    <xf numFmtId="0" fontId="1" fillId="0" borderId="0" applyNumberForma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7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0" fontId="1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</cellStyleXfs>
  <cellXfs count="90">
    <xf numFmtId="0" fontId="0" fillId="0" borderId="0" xfId="0"/>
    <xf numFmtId="0" fontId="8" fillId="2" borderId="3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 wrapText="1"/>
    </xf>
    <xf numFmtId="0" fontId="8" fillId="2" borderId="2" xfId="0" applyFont="1" applyFill="1" applyBorder="1" applyAlignment="1">
      <alignment horizontal="right" vertical="center" wrapText="1"/>
    </xf>
    <xf numFmtId="0" fontId="9" fillId="3" borderId="6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" fillId="0" borderId="0" xfId="21"/>
    <xf numFmtId="0" fontId="1" fillId="3" borderId="0" xfId="2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9" fillId="3" borderId="0" xfId="21" applyFont="1" applyFill="1" applyAlignment="1">
      <alignment horizontal="center" vertical="center"/>
    </xf>
    <xf numFmtId="0" fontId="0" fillId="0" borderId="0" xfId="0" applyAlignment="1">
      <alignment wrapText="1"/>
    </xf>
    <xf numFmtId="0" fontId="13" fillId="0" borderId="0" xfId="0" quotePrefix="1" applyFont="1"/>
    <xf numFmtId="0" fontId="14" fillId="0" borderId="0" xfId="0" applyFont="1"/>
    <xf numFmtId="0" fontId="12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2" fillId="0" borderId="0" xfId="13" applyAlignment="1" applyProtection="1">
      <alignment horizontal="center"/>
      <protection locked="0"/>
    </xf>
    <xf numFmtId="0" fontId="2" fillId="0" borderId="0" xfId="13" applyAlignment="1" applyProtection="1">
      <alignment horizontal="center"/>
      <protection hidden="1"/>
    </xf>
    <xf numFmtId="2" fontId="2" fillId="0" borderId="0" xfId="13" applyNumberFormat="1" applyAlignment="1" applyProtection="1">
      <alignment horizontal="center" wrapText="1"/>
      <protection locked="0"/>
    </xf>
    <xf numFmtId="0" fontId="2" fillId="0" borderId="0" xfId="13" applyProtection="1">
      <protection locked="0"/>
    </xf>
    <xf numFmtId="9" fontId="2" fillId="0" borderId="0" xfId="13" applyNumberFormat="1" applyAlignment="1" applyProtection="1">
      <alignment horizontal="center"/>
      <protection locked="0"/>
    </xf>
    <xf numFmtId="0" fontId="11" fillId="3" borderId="1" xfId="8" applyFont="1" applyFill="1" applyBorder="1" applyAlignment="1" applyProtection="1">
      <alignment horizontal="right"/>
      <protection locked="0" hidden="1"/>
    </xf>
    <xf numFmtId="10" fontId="11" fillId="3" borderId="1" xfId="8" applyNumberFormat="1" applyFont="1" applyFill="1" applyBorder="1" applyAlignment="1" applyProtection="1">
      <alignment horizontal="right"/>
      <protection locked="0" hidden="1"/>
    </xf>
    <xf numFmtId="44" fontId="11" fillId="3" borderId="1" xfId="24" applyFont="1" applyFill="1" applyBorder="1" applyAlignment="1" applyProtection="1">
      <alignment horizontal="right"/>
      <protection locked="0" hidden="1"/>
    </xf>
    <xf numFmtId="0" fontId="18" fillId="0" borderId="0" xfId="13" applyFont="1" applyProtection="1">
      <protection locked="0"/>
    </xf>
    <xf numFmtId="0" fontId="19" fillId="0" borderId="0" xfId="13" applyFont="1" applyProtection="1">
      <protection locked="0"/>
    </xf>
    <xf numFmtId="0" fontId="20" fillId="0" borderId="0" xfId="13" applyFont="1" applyAlignment="1" applyProtection="1">
      <alignment horizontal="left" vertical="top"/>
      <protection locked="0"/>
    </xf>
    <xf numFmtId="0" fontId="9" fillId="4" borderId="24" xfId="13" applyFont="1" applyFill="1" applyBorder="1" applyAlignment="1" applyProtection="1">
      <alignment horizontal="left" vertical="center"/>
      <protection hidden="1"/>
    </xf>
    <xf numFmtId="0" fontId="9" fillId="4" borderId="14" xfId="13" applyFont="1" applyFill="1" applyBorder="1" applyAlignment="1" applyProtection="1">
      <alignment horizontal="left" vertical="center"/>
      <protection hidden="1"/>
    </xf>
    <xf numFmtId="165" fontId="21" fillId="0" borderId="0" xfId="13" applyNumberFormat="1" applyFont="1" applyAlignment="1" applyProtection="1">
      <alignment horizontal="center" wrapText="1"/>
      <protection locked="0"/>
    </xf>
    <xf numFmtId="0" fontId="10" fillId="4" borderId="14" xfId="13" applyFont="1" applyFill="1" applyBorder="1" applyAlignment="1" applyProtection="1">
      <alignment vertical="center"/>
      <protection hidden="1"/>
    </xf>
    <xf numFmtId="166" fontId="22" fillId="0" borderId="0" xfId="13" applyNumberFormat="1" applyFont="1" applyAlignment="1" applyProtection="1">
      <alignment horizontal="center" wrapText="1"/>
      <protection locked="0"/>
    </xf>
    <xf numFmtId="0" fontId="9" fillId="4" borderId="14" xfId="13" applyFont="1" applyFill="1" applyBorder="1" applyAlignment="1" applyProtection="1">
      <alignment vertical="center"/>
      <protection hidden="1"/>
    </xf>
    <xf numFmtId="0" fontId="3" fillId="4" borderId="14" xfId="13" applyFont="1" applyFill="1" applyBorder="1" applyAlignment="1" applyProtection="1">
      <alignment horizontal="left" vertical="center"/>
      <protection hidden="1"/>
    </xf>
    <xf numFmtId="0" fontId="0" fillId="4" borderId="14" xfId="13" applyFont="1" applyFill="1" applyBorder="1" applyAlignment="1" applyProtection="1">
      <alignment horizontal="left" vertical="center" wrapText="1"/>
      <protection hidden="1"/>
    </xf>
    <xf numFmtId="167" fontId="23" fillId="0" borderId="10" xfId="13" applyNumberFormat="1" applyFont="1" applyBorder="1" applyAlignment="1" applyProtection="1">
      <alignment horizontal="center" vertical="center" wrapText="1"/>
      <protection locked="0"/>
    </xf>
    <xf numFmtId="167" fontId="23" fillId="0" borderId="1" xfId="13" applyNumberFormat="1" applyFont="1" applyBorder="1" applyAlignment="1" applyProtection="1">
      <alignment horizontal="center" vertical="center" wrapText="1"/>
      <protection locked="0"/>
    </xf>
    <xf numFmtId="0" fontId="0" fillId="4" borderId="14" xfId="13" applyFont="1" applyFill="1" applyBorder="1" applyAlignment="1" applyProtection="1">
      <alignment horizontal="left" vertical="center"/>
      <protection hidden="1"/>
    </xf>
    <xf numFmtId="0" fontId="21" fillId="0" borderId="0" xfId="13" applyFont="1" applyAlignment="1" applyProtection="1">
      <alignment horizontal="center"/>
      <protection locked="0"/>
    </xf>
    <xf numFmtId="0" fontId="21" fillId="0" borderId="0" xfId="13" applyFont="1" applyAlignment="1" applyProtection="1">
      <alignment horizontal="center"/>
      <protection hidden="1"/>
    </xf>
    <xf numFmtId="2" fontId="21" fillId="0" borderId="0" xfId="13" applyNumberFormat="1" applyFont="1" applyAlignment="1" applyProtection="1">
      <alignment horizontal="center" wrapText="1"/>
      <protection locked="0"/>
    </xf>
    <xf numFmtId="2" fontId="3" fillId="0" borderId="10" xfId="13" applyNumberFormat="1" applyFont="1" applyBorder="1" applyAlignment="1" applyProtection="1">
      <alignment horizontal="center" vertical="center" wrapText="1"/>
      <protection locked="0"/>
    </xf>
    <xf numFmtId="2" fontId="3" fillId="0" borderId="1" xfId="13" applyNumberFormat="1" applyFont="1" applyBorder="1" applyAlignment="1" applyProtection="1">
      <alignment horizontal="center" vertical="center" wrapText="1"/>
      <protection locked="0"/>
    </xf>
    <xf numFmtId="0" fontId="2" fillId="0" borderId="0" xfId="1" applyAlignment="1">
      <alignment horizontal="center" wrapText="1"/>
    </xf>
    <xf numFmtId="0" fontId="2" fillId="0" borderId="0" xfId="13" applyAlignment="1">
      <alignment horizontal="center"/>
    </xf>
    <xf numFmtId="2" fontId="26" fillId="5" borderId="10" xfId="13" applyNumberFormat="1" applyFont="1" applyFill="1" applyBorder="1" applyAlignment="1" applyProtection="1">
      <alignment horizontal="center" vertical="center" wrapText="1"/>
      <protection locked="0"/>
    </xf>
    <xf numFmtId="2" fontId="26" fillId="5" borderId="1" xfId="13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13" applyAlignment="1" applyProtection="1">
      <alignment horizontal="center" vertical="top" wrapText="1"/>
      <protection locked="0"/>
    </xf>
    <xf numFmtId="2" fontId="6" fillId="0" borderId="10" xfId="13" applyNumberFormat="1" applyFont="1" applyBorder="1" applyAlignment="1" applyProtection="1">
      <alignment horizontal="center" vertical="center" wrapText="1"/>
      <protection locked="0"/>
    </xf>
    <xf numFmtId="2" fontId="6" fillId="0" borderId="1" xfId="13" applyNumberFormat="1" applyFont="1" applyBorder="1" applyAlignment="1" applyProtection="1">
      <alignment horizontal="center" vertical="center" wrapText="1"/>
      <protection locked="0"/>
    </xf>
    <xf numFmtId="0" fontId="27" fillId="3" borderId="9" xfId="13" applyFont="1" applyFill="1" applyBorder="1" applyAlignment="1">
      <alignment wrapText="1"/>
    </xf>
    <xf numFmtId="0" fontId="27" fillId="3" borderId="19" xfId="13" applyFont="1" applyFill="1" applyBorder="1" applyAlignment="1">
      <alignment wrapText="1"/>
    </xf>
    <xf numFmtId="0" fontId="2" fillId="3" borderId="22" xfId="13" applyFill="1" applyBorder="1" applyAlignment="1">
      <alignment vertical="center"/>
    </xf>
    <xf numFmtId="0" fontId="2" fillId="3" borderId="17" xfId="13" applyFill="1" applyBorder="1" applyAlignment="1">
      <alignment vertical="center"/>
    </xf>
    <xf numFmtId="0" fontId="29" fillId="0" borderId="18" xfId="13" applyFont="1" applyBorder="1" applyAlignment="1">
      <alignment vertical="center"/>
    </xf>
    <xf numFmtId="0" fontId="2" fillId="3" borderId="18" xfId="13" applyFill="1" applyBorder="1" applyAlignment="1">
      <alignment vertical="center"/>
    </xf>
    <xf numFmtId="2" fontId="2" fillId="0" borderId="1" xfId="13" applyNumberFormat="1" applyBorder="1" applyAlignment="1" applyProtection="1">
      <alignment horizontal="center" wrapText="1"/>
      <protection locked="0"/>
    </xf>
    <xf numFmtId="2" fontId="2" fillId="0" borderId="10" xfId="13" applyNumberFormat="1" applyBorder="1" applyAlignment="1" applyProtection="1">
      <alignment horizontal="center" wrapText="1"/>
      <protection locked="0"/>
    </xf>
    <xf numFmtId="2" fontId="2" fillId="0" borderId="20" xfId="13" applyNumberFormat="1" applyBorder="1" applyAlignment="1" applyProtection="1">
      <alignment horizontal="center" wrapText="1"/>
      <protection locked="0"/>
    </xf>
    <xf numFmtId="2" fontId="2" fillId="0" borderId="16" xfId="13" applyNumberFormat="1" applyBorder="1" applyAlignment="1" applyProtection="1">
      <alignment horizontal="center" wrapText="1"/>
      <protection locked="0"/>
    </xf>
    <xf numFmtId="0" fontId="15" fillId="6" borderId="1" xfId="8" applyFont="1" applyFill="1" applyBorder="1" applyAlignment="1" applyProtection="1">
      <alignment horizontal="left"/>
      <protection hidden="1"/>
    </xf>
    <xf numFmtId="44" fontId="11" fillId="6" borderId="1" xfId="24" applyFont="1" applyFill="1" applyBorder="1" applyAlignment="1" applyProtection="1">
      <protection hidden="1"/>
    </xf>
    <xf numFmtId="0" fontId="31" fillId="6" borderId="13" xfId="13" applyFont="1" applyFill="1" applyBorder="1" applyAlignment="1" applyProtection="1">
      <alignment horizontal="center"/>
      <protection locked="0"/>
    </xf>
    <xf numFmtId="2" fontId="31" fillId="6" borderId="15" xfId="13" applyNumberFormat="1" applyFont="1" applyFill="1" applyBorder="1" applyAlignment="1" applyProtection="1">
      <alignment horizontal="center" wrapText="1"/>
      <protection locked="0"/>
    </xf>
    <xf numFmtId="2" fontId="31" fillId="6" borderId="11" xfId="13" applyNumberFormat="1" applyFont="1" applyFill="1" applyBorder="1" applyAlignment="1" applyProtection="1">
      <alignment horizontal="center" wrapText="1"/>
      <protection locked="0"/>
    </xf>
    <xf numFmtId="0" fontId="30" fillId="6" borderId="14" xfId="0" applyFont="1" applyFill="1" applyBorder="1" applyAlignment="1" applyProtection="1">
      <alignment vertical="center" wrapText="1"/>
      <protection locked="0"/>
    </xf>
    <xf numFmtId="0" fontId="30" fillId="6" borderId="24" xfId="0" applyFont="1" applyFill="1" applyBorder="1" applyAlignment="1" applyProtection="1">
      <alignment vertical="center" wrapText="1"/>
      <protection locked="0"/>
    </xf>
    <xf numFmtId="167" fontId="15" fillId="7" borderId="1" xfId="13" applyNumberFormat="1" applyFont="1" applyFill="1" applyBorder="1" applyAlignment="1" applyProtection="1">
      <alignment horizontal="center" vertical="center"/>
      <protection hidden="1"/>
    </xf>
    <xf numFmtId="167" fontId="15" fillId="7" borderId="1" xfId="2" applyNumberFormat="1" applyFont="1" applyFill="1" applyBorder="1" applyAlignment="1" applyProtection="1">
      <alignment horizontal="center" vertical="center"/>
      <protection hidden="1"/>
    </xf>
    <xf numFmtId="167" fontId="15" fillId="7" borderId="1" xfId="10" applyNumberFormat="1" applyFont="1" applyFill="1" applyBorder="1" applyAlignment="1" applyProtection="1">
      <alignment horizontal="center" vertical="center"/>
      <protection hidden="1"/>
    </xf>
    <xf numFmtId="167" fontId="15" fillId="7" borderId="20" xfId="13" applyNumberFormat="1" applyFont="1" applyFill="1" applyBorder="1" applyAlignment="1" applyProtection="1">
      <alignment horizontal="center" vertical="center"/>
      <protection hidden="1"/>
    </xf>
    <xf numFmtId="167" fontId="15" fillId="7" borderId="10" xfId="10" applyNumberFormat="1" applyFont="1" applyFill="1" applyBorder="1" applyAlignment="1" applyProtection="1">
      <alignment horizontal="center" vertical="center"/>
      <protection hidden="1"/>
    </xf>
    <xf numFmtId="167" fontId="15" fillId="7" borderId="10" xfId="2" applyNumberFormat="1" applyFont="1" applyFill="1" applyBorder="1" applyAlignment="1" applyProtection="1">
      <alignment horizontal="center" vertical="center"/>
      <protection hidden="1"/>
    </xf>
    <xf numFmtId="167" fontId="15" fillId="7" borderId="10" xfId="13" applyNumberFormat="1" applyFont="1" applyFill="1" applyBorder="1" applyAlignment="1" applyProtection="1">
      <alignment horizontal="center" vertical="center"/>
      <protection hidden="1"/>
    </xf>
    <xf numFmtId="167" fontId="15" fillId="7" borderId="20" xfId="13" applyNumberFormat="1" applyFont="1" applyFill="1" applyBorder="1" applyAlignment="1" applyProtection="1">
      <alignment horizontal="center" vertical="center" wrapText="1"/>
      <protection hidden="1"/>
    </xf>
    <xf numFmtId="167" fontId="15" fillId="7" borderId="16" xfId="13" applyNumberFormat="1" applyFont="1" applyFill="1" applyBorder="1" applyAlignment="1" applyProtection="1">
      <alignment horizontal="center" vertical="center" wrapText="1"/>
      <protection hidden="1"/>
    </xf>
    <xf numFmtId="0" fontId="17" fillId="8" borderId="21" xfId="13" applyFont="1" applyFill="1" applyBorder="1" applyAlignment="1">
      <alignment horizontal="center" vertical="center"/>
    </xf>
    <xf numFmtId="0" fontId="28" fillId="8" borderId="18" xfId="13" applyFont="1" applyFill="1" applyBorder="1" applyAlignment="1">
      <alignment horizontal="center" vertical="center"/>
    </xf>
    <xf numFmtId="0" fontId="28" fillId="8" borderId="23" xfId="13" applyFont="1" applyFill="1" applyBorder="1" applyAlignment="1">
      <alignment horizontal="center" vertical="center"/>
    </xf>
    <xf numFmtId="0" fontId="24" fillId="6" borderId="12" xfId="13" applyFont="1" applyFill="1" applyBorder="1" applyAlignment="1">
      <alignment horizontal="center" vertical="center" wrapText="1"/>
    </xf>
    <xf numFmtId="0" fontId="24" fillId="6" borderId="6" xfId="13" applyFont="1" applyFill="1" applyBorder="1" applyAlignment="1">
      <alignment horizontal="center" vertical="center" wrapText="1"/>
    </xf>
    <xf numFmtId="165" fontId="16" fillId="6" borderId="5" xfId="2" applyNumberFormat="1" applyFont="1" applyFill="1" applyBorder="1" applyAlignment="1" applyProtection="1">
      <alignment horizontal="center" vertical="center" wrapText="1"/>
    </xf>
    <xf numFmtId="165" fontId="16" fillId="6" borderId="6" xfId="2" applyNumberFormat="1" applyFont="1" applyFill="1" applyBorder="1" applyAlignment="1" applyProtection="1">
      <alignment horizontal="center" vertical="center" wrapText="1"/>
    </xf>
    <xf numFmtId="0" fontId="15" fillId="6" borderId="5" xfId="13" applyFont="1" applyFill="1" applyBorder="1" applyAlignment="1" applyProtection="1">
      <alignment horizontal="center" wrapText="1"/>
      <protection locked="0"/>
    </xf>
    <xf numFmtId="0" fontId="15" fillId="6" borderId="6" xfId="13" applyFont="1" applyFill="1" applyBorder="1" applyAlignment="1" applyProtection="1">
      <alignment horizontal="center" wrapText="1"/>
      <protection locked="0"/>
    </xf>
  </cellXfs>
  <cellStyles count="27">
    <cellStyle name="Comma 2" xfId="23" xr:uid="{8C626572-A3DA-4C1B-8D1B-E80F84B9C3A8}"/>
    <cellStyle name="Currency 2" xfId="2" xr:uid="{00000000-0005-0000-0000-000001000000}"/>
    <cellStyle name="Currency 2 2" xfId="3" xr:uid="{00000000-0005-0000-0000-000002000000}"/>
    <cellStyle name="Currency 3" xfId="4" xr:uid="{00000000-0005-0000-0000-000003000000}"/>
    <cellStyle name="Currency 3 2" xfId="5" xr:uid="{00000000-0005-0000-0000-000004000000}"/>
    <cellStyle name="Currency 3 2 2" xfId="15" xr:uid="{00000000-0005-0000-0000-000005000000}"/>
    <cellStyle name="Currency 3 2 3" xfId="20" xr:uid="{00000000-0005-0000-0000-000006000000}"/>
    <cellStyle name="Currency 4" xfId="18" xr:uid="{00000000-0005-0000-0000-000007000000}"/>
    <cellStyle name="Currency 5" xfId="22" xr:uid="{335B0AD4-D1FD-4B06-9322-C68EDC027426}"/>
    <cellStyle name="Currency_Blended Rate Sheet" xfId="24" xr:uid="{09E72DC1-9A42-453C-A79B-B25C3B83209E}"/>
    <cellStyle name="Hyperlink" xfId="21" builtinId="8"/>
    <cellStyle name="Hyperlink 2" xfId="6" xr:uid="{00000000-0005-0000-0000-000009000000}"/>
    <cellStyle name="Hyperlink 3" xfId="16" xr:uid="{00000000-0005-0000-0000-00000A000000}"/>
    <cellStyle name="Hyperlink 4" xfId="19" xr:uid="{00000000-0005-0000-0000-00000B000000}"/>
    <cellStyle name="Normal" xfId="0" builtinId="0"/>
    <cellStyle name="Normal 2" xfId="1" xr:uid="{00000000-0005-0000-0000-00000E000000}"/>
    <cellStyle name="Normal 2 2" xfId="7" xr:uid="{00000000-0005-0000-0000-00000F000000}"/>
    <cellStyle name="Normal 2 3" xfId="13" xr:uid="{00000000-0005-0000-0000-000010000000}"/>
    <cellStyle name="Normal 3" xfId="8" xr:uid="{00000000-0005-0000-0000-000011000000}"/>
    <cellStyle name="Normal 4" xfId="9" xr:uid="{00000000-0005-0000-0000-000012000000}"/>
    <cellStyle name="Normal 5" xfId="14" xr:uid="{00000000-0005-0000-0000-000013000000}"/>
    <cellStyle name="Normal 8" xfId="25" xr:uid="{3B52EC29-85FC-43E3-A8D2-8F9FBBD707D5}"/>
    <cellStyle name="Percent 2" xfId="10" xr:uid="{00000000-0005-0000-0000-000014000000}"/>
    <cellStyle name="Percent 2 2" xfId="11" xr:uid="{00000000-0005-0000-0000-000015000000}"/>
    <cellStyle name="Percent 3" xfId="12" xr:uid="{00000000-0005-0000-0000-000016000000}"/>
    <cellStyle name="Percent 4" xfId="17" xr:uid="{00000000-0005-0000-0000-000017000000}"/>
    <cellStyle name="Percent 5" xfId="26" xr:uid="{B759BFE1-E5E0-447B-B0D5-BD6FE1ECFA99}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Garamond"/>
        <scheme val="none"/>
      </font>
      <fill>
        <patternFill patternType="solid">
          <fgColor indexed="64"/>
          <bgColor rgb="FF009AA6"/>
        </patternFill>
      </fill>
      <alignment horizontal="right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Garamond"/>
        <scheme val="none"/>
      </font>
      <fill>
        <patternFill patternType="solid">
          <fgColor indexed="64"/>
          <bgColor rgb="FF009AA6"/>
        </patternFill>
      </fill>
      <alignment horizontal="righ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Garamond"/>
        <scheme val="none"/>
      </font>
      <fill>
        <patternFill patternType="solid">
          <fgColor indexed="64"/>
          <bgColor rgb="FF009AA6"/>
        </patternFill>
      </fill>
      <alignment horizontal="right" vertical="center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96E69"/>
      <color rgb="FF009AA6"/>
      <color rgb="FFFFCCCC"/>
      <color rgb="FF99FF99"/>
      <color rgb="FF00CC66"/>
      <color rgb="FF339933"/>
      <color rgb="FF99CCFF"/>
      <color rgb="FFFFC843"/>
      <color rgb="FFFF6600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Users/tsangj/AppData/Local/Microsoft/Windows/INetCache/Content.Outlook/Q4LQN37R/Copy%20of%20Ticksheet%20-%20All%20Deals%20-%20May%204%202023.xlsm" TargetMode="External"/><Relationship Id="rId2" Type="http://schemas.openxmlformats.org/officeDocument/2006/relationships/externalLinkPath" Target="file:///C:\Users\tsangj\AppData\Local\Microsoft\Windows\INetCache\Content.Outlook\Q4LQN37R\Copy%20of%20Ticksheet%20-%20All%20Deals%20-%20May%204%202023.xlsm" TargetMode="External"/><Relationship Id="rId1" Type="http://schemas.openxmlformats.org/officeDocument/2006/relationships/externalLinkPath" Target="/Users/tsangj/AppData/Local/Microsoft/Windows/INetCache/Content.Outlook/Q4LQN37R/Copy%20of%20Ticksheet%20-%20All%20Deals%20-%20May%204%20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mail templates - Regular Deals"/>
      <sheetName val="Email templates - Branch"/>
      <sheetName val="Email templates - HW"/>
      <sheetName val="Sheet1"/>
      <sheetName val="BFS Standard"/>
      <sheetName val="BFS Simplified"/>
      <sheetName val="BFS-A Deals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C7:C13" totalsRowShown="0">
  <autoFilter ref="C7:C13" xr:uid="{00000000-0009-0000-0100-000001000000}"/>
  <tableColumns count="1">
    <tableColumn id="1" xr3:uid="{00000000-0010-0000-0000-000001000000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F8:F11" totalsRowShown="0" headerRowDxfId="14" dataDxfId="12" headerRowBorderDxfId="13" tableBorderDxfId="11" totalsRowBorderDxfId="10">
  <autoFilter ref="F8:F11" xr:uid="{00000000-0009-0000-0100-000002000000}"/>
  <tableColumns count="1">
    <tableColumn id="1" xr3:uid="{00000000-0010-0000-0100-000001000000}" name="Column1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26:E44" totalsRowShown="0" headerRowDxfId="8" dataDxfId="6" headerRowBorderDxfId="7" tableBorderDxfId="5">
  <sortState xmlns:xlrd2="http://schemas.microsoft.com/office/spreadsheetml/2017/richdata2" ref="A27:E44">
    <sortCondition ref="A28:A44"/>
  </sortState>
  <tableColumns count="5">
    <tableColumn id="1" xr3:uid="{00000000-0010-0000-0200-000001000000}" name="BDM" dataDxfId="4"/>
    <tableColumn id="2" xr3:uid="{00000000-0010-0000-0200-000002000000}" name="Column1" dataDxfId="3">
      <calculatedColumnFormula>--ISNUMBER(IFERROR(SEARCH(#REF!,A27,1),""))</calculatedColumnFormula>
    </tableColumn>
    <tableColumn id="3" xr3:uid="{00000000-0010-0000-0200-000003000000}" name="Column2" dataDxfId="2">
      <calculatedColumnFormula>IF(B27=1,COUNTIF($B$27:B27,1),"")</calculatedColumnFormula>
    </tableColumn>
    <tableColumn id="4" xr3:uid="{00000000-0010-0000-0200-000004000000}" name="Column3" dataDxfId="1">
      <calculatedColumnFormula>IFERROR(INDEX($A$27:$A$46,MATCH(ROWS($C$27:C27),$C$27:$C$46,0)),"")</calculatedColumnFormula>
    </tableColumn>
    <tableColumn id="5" xr3:uid="{00000000-0010-0000-0200-000005000000}" name="BDM Emai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Stephanie.MacRae@cwbank.com" TargetMode="External"/><Relationship Id="rId18" Type="http://schemas.openxmlformats.org/officeDocument/2006/relationships/hyperlink" Target="mailto:josie.hettinga@cwbank.com" TargetMode="External"/><Relationship Id="rId26" Type="http://schemas.openxmlformats.org/officeDocument/2006/relationships/hyperlink" Target="mailto:arun.ravindran@cwbank.com" TargetMode="External"/><Relationship Id="rId39" Type="http://schemas.openxmlformats.org/officeDocument/2006/relationships/hyperlink" Target="mailto:hazel.paquette@cwbank.com" TargetMode="External"/><Relationship Id="rId21" Type="http://schemas.openxmlformats.org/officeDocument/2006/relationships/hyperlink" Target="mailto:matt.sherriff@cwbank.com" TargetMode="External"/><Relationship Id="rId34" Type="http://schemas.openxmlformats.org/officeDocument/2006/relationships/hyperlink" Target="mailto:jill.davies@cwbank.com" TargetMode="External"/><Relationship Id="rId42" Type="http://schemas.openxmlformats.org/officeDocument/2006/relationships/hyperlink" Target="mailto:julius.ylagan@cwbank.com" TargetMode="External"/><Relationship Id="rId47" Type="http://schemas.openxmlformats.org/officeDocument/2006/relationships/table" Target="../tables/table3.xml"/><Relationship Id="rId7" Type="http://schemas.openxmlformats.org/officeDocument/2006/relationships/hyperlink" Target="mailto:megan.godby@cwbank.com" TargetMode="External"/><Relationship Id="rId2" Type="http://schemas.openxmlformats.org/officeDocument/2006/relationships/hyperlink" Target="mailto:darren.schienbein@cwbank.com" TargetMode="External"/><Relationship Id="rId16" Type="http://schemas.openxmlformats.org/officeDocument/2006/relationships/hyperlink" Target="mailto:jackie.matthew@cwbank.com" TargetMode="External"/><Relationship Id="rId29" Type="http://schemas.openxmlformats.org/officeDocument/2006/relationships/hyperlink" Target="mailto:anne.degraaf@cwbank.com" TargetMode="External"/><Relationship Id="rId1" Type="http://schemas.openxmlformats.org/officeDocument/2006/relationships/hyperlink" Target="mailto:barbara.petz@cwbank.com" TargetMode="External"/><Relationship Id="rId6" Type="http://schemas.openxmlformats.org/officeDocument/2006/relationships/hyperlink" Target="mailto:linda.charest@cwbank.com" TargetMode="External"/><Relationship Id="rId11" Type="http://schemas.openxmlformats.org/officeDocument/2006/relationships/hyperlink" Target="mailto:thomas.squires@cwbank.com" TargetMode="External"/><Relationship Id="rId24" Type="http://schemas.openxmlformats.org/officeDocument/2006/relationships/hyperlink" Target="mailto:ravi.rodrigo@cwbank.com" TargetMode="External"/><Relationship Id="rId32" Type="http://schemas.openxmlformats.org/officeDocument/2006/relationships/hyperlink" Target="mailto:parth.shah@cwbank.com" TargetMode="External"/><Relationship Id="rId37" Type="http://schemas.openxmlformats.org/officeDocument/2006/relationships/hyperlink" Target="mailto:michael.huynh@cwbank.com" TargetMode="External"/><Relationship Id="rId40" Type="http://schemas.openxmlformats.org/officeDocument/2006/relationships/hyperlink" Target="mailto:kristina.reinbold@cwbank.com" TargetMode="External"/><Relationship Id="rId45" Type="http://schemas.openxmlformats.org/officeDocument/2006/relationships/table" Target="../tables/table1.xml"/><Relationship Id="rId5" Type="http://schemas.openxmlformats.org/officeDocument/2006/relationships/hyperlink" Target="mailto:iris.boettcher@cwbank.com" TargetMode="External"/><Relationship Id="rId15" Type="http://schemas.openxmlformats.org/officeDocument/2006/relationships/hyperlink" Target="mailto:heather.scarlett@cwbank.com" TargetMode="External"/><Relationship Id="rId23" Type="http://schemas.openxmlformats.org/officeDocument/2006/relationships/hyperlink" Target="mailto:susan.fidgen@cwbank.com" TargetMode="External"/><Relationship Id="rId28" Type="http://schemas.openxmlformats.org/officeDocument/2006/relationships/hyperlink" Target="mailto:etti.sugar@cwbank.com" TargetMode="External"/><Relationship Id="rId36" Type="http://schemas.openxmlformats.org/officeDocument/2006/relationships/hyperlink" Target="mailto:sammie.tse@cwbank.com" TargetMode="External"/><Relationship Id="rId10" Type="http://schemas.openxmlformats.org/officeDocument/2006/relationships/hyperlink" Target="mailto:liane.geiger@cwbank.com" TargetMode="External"/><Relationship Id="rId19" Type="http://schemas.openxmlformats.org/officeDocument/2006/relationships/hyperlink" Target="mailto:heather.wytinck@cwbank.com" TargetMode="External"/><Relationship Id="rId31" Type="http://schemas.openxmlformats.org/officeDocument/2006/relationships/hyperlink" Target="mailto:brianna.isaacs@cwbank.com" TargetMode="External"/><Relationship Id="rId44" Type="http://schemas.openxmlformats.org/officeDocument/2006/relationships/hyperlink" Target="mailto:Kris.Power@cwbank.com" TargetMode="External"/><Relationship Id="rId4" Type="http://schemas.openxmlformats.org/officeDocument/2006/relationships/hyperlink" Target="mailto:hazel.paquette@cwbank.com" TargetMode="External"/><Relationship Id="rId9" Type="http://schemas.openxmlformats.org/officeDocument/2006/relationships/hyperlink" Target="mailto:polly.fan@cwbank.com" TargetMode="External"/><Relationship Id="rId14" Type="http://schemas.openxmlformats.org/officeDocument/2006/relationships/hyperlink" Target="mailto:Tammy.Stupack@cwbank.com" TargetMode="External"/><Relationship Id="rId22" Type="http://schemas.openxmlformats.org/officeDocument/2006/relationships/hyperlink" Target="mailto:Trupti.Patel@cwbank.com" TargetMode="External"/><Relationship Id="rId27" Type="http://schemas.openxmlformats.org/officeDocument/2006/relationships/hyperlink" Target="mailto:victoria.cross@cwbank.com" TargetMode="External"/><Relationship Id="rId30" Type="http://schemas.openxmlformats.org/officeDocument/2006/relationships/hyperlink" Target="mailto:stephanie.morrison@cwbank.com" TargetMode="External"/><Relationship Id="rId35" Type="http://schemas.openxmlformats.org/officeDocument/2006/relationships/hyperlink" Target="mailto:henry.wilson@cwbank.com" TargetMode="External"/><Relationship Id="rId43" Type="http://schemas.openxmlformats.org/officeDocument/2006/relationships/hyperlink" Target="mailto:polly.fan@cwbank.com" TargetMode="External"/><Relationship Id="rId8" Type="http://schemas.openxmlformats.org/officeDocument/2006/relationships/hyperlink" Target="mailto:martene.woodward@cwbank.com" TargetMode="External"/><Relationship Id="rId3" Type="http://schemas.openxmlformats.org/officeDocument/2006/relationships/hyperlink" Target="mailto:emily.mclaughlin@cwbank.com" TargetMode="External"/><Relationship Id="rId12" Type="http://schemas.openxmlformats.org/officeDocument/2006/relationships/hyperlink" Target="mailto:julius.ylagan@cwbank.com" TargetMode="External"/><Relationship Id="rId17" Type="http://schemas.openxmlformats.org/officeDocument/2006/relationships/hyperlink" Target="mailto:Joe.Foggetti@cwbank.com" TargetMode="External"/><Relationship Id="rId25" Type="http://schemas.openxmlformats.org/officeDocument/2006/relationships/hyperlink" Target="mailto:kristina.reinbold@cwbank.com" TargetMode="External"/><Relationship Id="rId33" Type="http://schemas.openxmlformats.org/officeDocument/2006/relationships/hyperlink" Target="mailto:saroja.kaler@cwbank.com" TargetMode="External"/><Relationship Id="rId38" Type="http://schemas.openxmlformats.org/officeDocument/2006/relationships/hyperlink" Target="mailto:barbara.petz@cwbank.com" TargetMode="External"/><Relationship Id="rId46" Type="http://schemas.openxmlformats.org/officeDocument/2006/relationships/table" Target="../tables/table2.xml"/><Relationship Id="rId20" Type="http://schemas.openxmlformats.org/officeDocument/2006/relationships/hyperlink" Target="mailto:Tom.Taylor@cwbank.com" TargetMode="External"/><Relationship Id="rId41" Type="http://schemas.openxmlformats.org/officeDocument/2006/relationships/hyperlink" Target="mailto:linda.charest@cwbank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F4E94-9AEE-46AC-A616-6F6917D40AB9}">
  <sheetPr codeName="Sheet4">
    <tabColor rgb="FFFFFF00"/>
  </sheetPr>
  <dimension ref="A1:AD45"/>
  <sheetViews>
    <sheetView showGridLines="0" tabSelected="1" topLeftCell="C1" zoomScale="85" zoomScaleNormal="85" workbookViewId="0">
      <selection activeCell="I9" sqref="I9"/>
    </sheetView>
  </sheetViews>
  <sheetFormatPr defaultColWidth="0" defaultRowHeight="12.5"/>
  <cols>
    <col min="1" max="1" width="3.453125" style="21" customWidth="1"/>
    <col min="2" max="2" width="23" style="21" customWidth="1"/>
    <col min="3" max="3" width="14.453125" style="21" customWidth="1"/>
    <col min="4" max="4" width="5.453125" style="21" customWidth="1"/>
    <col min="5" max="5" width="45.7265625" style="24" customWidth="1"/>
    <col min="6" max="6" width="25.54296875" style="21" customWidth="1"/>
    <col min="7" max="14" width="18.7265625" style="23" customWidth="1"/>
    <col min="15" max="15" width="0.1796875" style="21" customWidth="1"/>
    <col min="16" max="16" width="2.81640625" style="21" customWidth="1"/>
    <col min="17" max="17" width="10.1796875" style="21" hidden="1" customWidth="1"/>
    <col min="18" max="18" width="9.81640625" style="21" hidden="1" customWidth="1"/>
    <col min="19" max="19" width="12.7265625" style="21" hidden="1" customWidth="1"/>
    <col min="20" max="20" width="13" style="21" hidden="1" customWidth="1"/>
    <col min="21" max="21" width="16.7265625" style="22" hidden="1" customWidth="1"/>
    <col min="22" max="22" width="17.453125" style="22" hidden="1" customWidth="1"/>
    <col min="23" max="23" width="18" style="22" hidden="1" customWidth="1"/>
    <col min="24" max="27" width="18" style="22" customWidth="1"/>
    <col min="28" max="28" width="14.1796875" style="22" customWidth="1"/>
    <col min="29" max="29" width="15.7265625" style="21" hidden="1" customWidth="1"/>
    <col min="30" max="30" width="9.1796875" style="21" hidden="1" customWidth="1"/>
    <col min="31" max="16384" width="9.1796875" style="21" hidden="1"/>
  </cols>
  <sheetData>
    <row r="1" spans="2:30" s="49" customFormat="1" ht="35.15" customHeight="1" thickBot="1">
      <c r="F1" s="60"/>
      <c r="G1" s="59"/>
      <c r="H1" s="59"/>
      <c r="I1" s="59"/>
      <c r="J1" s="59"/>
      <c r="K1" s="59"/>
      <c r="L1" s="59"/>
      <c r="M1" s="59"/>
      <c r="N1" s="59"/>
      <c r="U1" s="22"/>
      <c r="V1" s="22"/>
      <c r="W1" s="22"/>
      <c r="X1" s="22"/>
      <c r="Y1" s="22"/>
      <c r="Z1" s="22"/>
      <c r="AA1" s="22"/>
      <c r="AB1" s="22"/>
    </row>
    <row r="2" spans="2:30" s="49" customFormat="1" ht="59.15" customHeight="1">
      <c r="B2" s="88" t="s">
        <v>9</v>
      </c>
      <c r="C2" s="89"/>
      <c r="E2" s="58"/>
      <c r="F2" s="57"/>
      <c r="G2" s="81" t="s">
        <v>10</v>
      </c>
      <c r="H2" s="82"/>
      <c r="I2" s="82"/>
      <c r="J2" s="82"/>
      <c r="K2" s="82"/>
      <c r="L2" s="82"/>
      <c r="M2" s="82"/>
      <c r="N2" s="83"/>
      <c r="U2" s="22"/>
      <c r="V2" s="22"/>
      <c r="W2" s="22"/>
      <c r="X2" s="22"/>
      <c r="Y2" s="22"/>
      <c r="Z2" s="22"/>
      <c r="AA2" s="22"/>
      <c r="AB2" s="22"/>
    </row>
    <row r="3" spans="2:30" ht="30" customHeight="1">
      <c r="B3" s="65" t="s">
        <v>11</v>
      </c>
      <c r="C3" s="28"/>
      <c r="E3" s="56"/>
      <c r="F3" s="55"/>
      <c r="G3" s="54" t="s">
        <v>12</v>
      </c>
      <c r="H3" s="54" t="s">
        <v>13</v>
      </c>
      <c r="I3" s="54" t="s">
        <v>14</v>
      </c>
      <c r="J3" s="54" t="s">
        <v>15</v>
      </c>
      <c r="K3" s="54" t="s">
        <v>16</v>
      </c>
      <c r="L3" s="54" t="s">
        <v>17</v>
      </c>
      <c r="M3" s="54" t="s">
        <v>18</v>
      </c>
      <c r="N3" s="53" t="s">
        <v>19</v>
      </c>
      <c r="O3" s="23"/>
      <c r="P3" s="49"/>
      <c r="U3" s="22" t="s">
        <v>0</v>
      </c>
      <c r="AC3" s="52"/>
      <c r="AD3" s="21" t="str">
        <f>IF(F19&gt;0, "Yes","No")</f>
        <v>No</v>
      </c>
    </row>
    <row r="4" spans="2:30" ht="24" customHeight="1">
      <c r="B4" s="65" t="s">
        <v>4</v>
      </c>
      <c r="C4" s="27">
        <v>5.2499999999999998E-2</v>
      </c>
      <c r="E4" s="86" t="s">
        <v>20</v>
      </c>
      <c r="F4" s="87"/>
      <c r="G4" s="51" t="inlineStr">
        <is>
          <t>AB</t>
        </is>
      </c>
      <c r="H4" s="51" t="s">
        <v>1</v>
      </c>
      <c r="I4" s="51" t="s">
        <v>1</v>
      </c>
      <c r="J4" s="51" t="s">
        <v>1</v>
      </c>
      <c r="K4" s="51" t="s">
        <v>1</v>
      </c>
      <c r="L4" s="51" t="s">
        <v>0</v>
      </c>
      <c r="M4" s="51" t="s">
        <v>0</v>
      </c>
      <c r="N4" s="50" t="s">
        <v>0</v>
      </c>
      <c r="O4" s="45"/>
      <c r="P4" s="49"/>
      <c r="Q4" s="25">
        <f>IFERROR(VLOOKUP($G$4,$U$4:$V$6,2,FALSE),"0")</f>
        <v>0.05</v>
      </c>
      <c r="R4" s="21">
        <f>IFERROR(VLOOKUP($G$4,$U$4:$W$6,3,FALSE),"?")</f>
        <v>5</v>
      </c>
      <c r="U4" s="22" t="s">
        <v>1</v>
      </c>
      <c r="V4" s="22">
        <v>0.05</v>
      </c>
      <c r="W4" s="22">
        <v>5</v>
      </c>
      <c r="AC4" s="48"/>
    </row>
    <row r="5" spans="2:30" ht="35.25" customHeight="1">
      <c r="B5" s="65" t="s">
        <v>6</v>
      </c>
      <c r="C5" s="26"/>
      <c r="E5" s="84" t="s">
        <v>21</v>
      </c>
      <c r="F5" s="85"/>
      <c r="G5" s="47"/>
      <c r="H5" s="47"/>
      <c r="I5" s="47"/>
      <c r="J5" s="47"/>
      <c r="K5" s="47"/>
      <c r="L5" s="47" t="s">
        <v>22</v>
      </c>
      <c r="M5" s="47" t="s">
        <v>22</v>
      </c>
      <c r="N5" s="46" t="s">
        <v>22</v>
      </c>
      <c r="O5" s="45"/>
      <c r="P5" s="45"/>
      <c r="U5" s="22" t="s">
        <v>2</v>
      </c>
      <c r="V5" s="22">
        <v>0.04</v>
      </c>
      <c r="W5" s="22">
        <v>4</v>
      </c>
    </row>
    <row r="6" spans="2:30" ht="23.25" customHeight="1">
      <c r="B6" s="65" t="s">
        <v>7</v>
      </c>
      <c r="C6" s="26"/>
      <c r="E6" s="33" t="s">
        <v>23</v>
      </c>
      <c r="F6" s="72">
        <f t="shared" ref="F6:F13" si="0">SUM(G6:N6)</f>
        <v>0</v>
      </c>
      <c r="G6" s="41">
        <v>100</v>
      </c>
      <c r="H6" s="41"/>
      <c r="I6" s="41"/>
      <c r="J6" s="41"/>
      <c r="K6" s="41"/>
      <c r="L6" s="41"/>
      <c r="M6" s="41"/>
      <c r="N6" s="40"/>
      <c r="O6" s="23"/>
      <c r="P6" s="23"/>
      <c r="U6" s="22" t="s">
        <v>3</v>
      </c>
      <c r="V6" s="22">
        <v>0.03</v>
      </c>
      <c r="W6" s="22">
        <v>3</v>
      </c>
    </row>
    <row r="7" spans="2:30" s="43" customFormat="1" ht="23.25" customHeight="1">
      <c r="B7" s="65" t="s">
        <v>8</v>
      </c>
      <c r="C7" s="66" t="e">
        <f>-PMT((C4/2+1)^(1/6)-1,C6,C3)</f>
        <v>#NUM!</v>
      </c>
      <c r="E7" s="39" t="s">
        <v>24</v>
      </c>
      <c r="F7" s="73">
        <f t="shared" si="0"/>
        <v>0</v>
      </c>
      <c r="G7" s="41">
        <v>0</v>
      </c>
      <c r="H7" s="41"/>
      <c r="I7" s="41"/>
      <c r="J7" s="41"/>
      <c r="K7" s="41"/>
      <c r="L7" s="41"/>
      <c r="M7" s="41"/>
      <c r="N7" s="40"/>
      <c r="O7" s="45"/>
      <c r="P7" s="45"/>
      <c r="Q7" s="21"/>
      <c r="R7" s="21"/>
      <c r="S7" s="21"/>
      <c r="T7" s="21"/>
      <c r="U7" s="22" t="s">
        <v>0</v>
      </c>
      <c r="V7" s="22"/>
      <c r="W7" s="22"/>
      <c r="X7" s="22"/>
      <c r="Y7" s="22"/>
      <c r="Z7" s="22"/>
      <c r="AA7" s="22"/>
      <c r="AB7" s="44"/>
    </row>
    <row r="8" spans="2:30" s="43" customFormat="1" ht="25.5" customHeight="1">
      <c r="E8" s="39" t="s">
        <v>25</v>
      </c>
      <c r="F8" s="73">
        <f t="shared" si="0"/>
        <v>0</v>
      </c>
      <c r="G8" s="41"/>
      <c r="H8" s="41"/>
      <c r="I8" s="41"/>
      <c r="J8" s="41"/>
      <c r="K8" s="41"/>
      <c r="L8" s="41"/>
      <c r="M8" s="41"/>
      <c r="N8" s="40"/>
      <c r="O8" s="45"/>
      <c r="P8" s="45"/>
      <c r="Q8" s="25">
        <f>IFERROR(VLOOKUP($H$4,U8:V10,2,FALSE),"0")</f>
        <v>0.05</v>
      </c>
      <c r="R8" s="21">
        <f>IFERROR(VLOOKUP($H$4,U8:W10,3,FALSE),"?")</f>
        <v>5</v>
      </c>
      <c r="S8" s="21"/>
      <c r="T8" s="21"/>
      <c r="U8" s="22" t="s">
        <v>1</v>
      </c>
      <c r="V8" s="22">
        <v>0.05</v>
      </c>
      <c r="W8" s="22">
        <v>5</v>
      </c>
      <c r="X8" s="22"/>
      <c r="Y8" s="22"/>
      <c r="Z8" s="22"/>
      <c r="AA8" s="22"/>
      <c r="AB8" s="44"/>
    </row>
    <row r="9" spans="2:30" ht="25.5" customHeight="1">
      <c r="E9" s="33" t="s">
        <v>26</v>
      </c>
      <c r="F9" s="73">
        <f t="shared" si="0"/>
        <v>0</v>
      </c>
      <c r="G9" s="41">
        <v>10</v>
      </c>
      <c r="H9" s="41"/>
      <c r="I9" s="41"/>
      <c r="J9" s="41"/>
      <c r="K9" s="41"/>
      <c r="L9" s="41"/>
      <c r="M9" s="41"/>
      <c r="N9" s="40"/>
      <c r="O9" s="23"/>
      <c r="P9" s="23"/>
      <c r="U9" s="22" t="s">
        <v>2</v>
      </c>
      <c r="V9" s="22">
        <v>0.04</v>
      </c>
      <c r="W9" s="22">
        <v>4</v>
      </c>
    </row>
    <row r="10" spans="2:30" ht="24" customHeight="1">
      <c r="E10" s="42" t="s">
        <v>27</v>
      </c>
      <c r="F10" s="73">
        <f t="shared" si="0"/>
        <v>0</v>
      </c>
      <c r="G10" s="41"/>
      <c r="H10" s="41"/>
      <c r="I10" s="41"/>
      <c r="J10" s="41"/>
      <c r="K10" s="41"/>
      <c r="L10" s="41"/>
      <c r="M10" s="41"/>
      <c r="N10" s="40"/>
      <c r="O10" s="23"/>
      <c r="P10" s="23"/>
      <c r="U10" s="22" t="s">
        <v>3</v>
      </c>
      <c r="V10" s="22">
        <v>0.03</v>
      </c>
      <c r="W10" s="22">
        <v>3</v>
      </c>
    </row>
    <row r="11" spans="2:30" ht="20.149999999999999" customHeight="1">
      <c r="E11" s="39" t="s">
        <v>28</v>
      </c>
      <c r="F11" s="73">
        <f t="shared" si="0"/>
        <v>0</v>
      </c>
      <c r="G11" s="41"/>
      <c r="H11" s="41"/>
      <c r="I11" s="41"/>
      <c r="J11" s="41"/>
      <c r="K11" s="41"/>
      <c r="L11" s="41"/>
      <c r="M11" s="41"/>
      <c r="N11" s="40"/>
      <c r="O11" s="23"/>
      <c r="P11" s="23"/>
      <c r="U11" s="22" t="s">
        <v>0</v>
      </c>
    </row>
    <row r="12" spans="2:30" ht="20.149999999999999" customHeight="1">
      <c r="E12" s="38" t="s">
        <v>29</v>
      </c>
      <c r="F12" s="73">
        <f t="shared" si="0"/>
        <v>0</v>
      </c>
      <c r="G12" s="41">
        <v>0</v>
      </c>
      <c r="H12" s="41"/>
      <c r="I12" s="41"/>
      <c r="J12" s="41"/>
      <c r="K12" s="41"/>
      <c r="L12" s="41"/>
      <c r="M12" s="41"/>
      <c r="N12" s="40"/>
      <c r="O12" s="23"/>
      <c r="P12" s="23"/>
      <c r="Q12" s="25">
        <f>IFERROR(VLOOKUP($I$4,U12:V14,2,FALSE),"0")</f>
        <v>0.05</v>
      </c>
      <c r="R12" s="21">
        <f>IFERROR(VLOOKUP($I$4,U12:W14,3,FALSE),"?")</f>
        <v>5</v>
      </c>
      <c r="U12" s="22" t="s">
        <v>1</v>
      </c>
      <c r="V12" s="22">
        <v>0.05</v>
      </c>
      <c r="W12" s="22">
        <v>5</v>
      </c>
    </row>
    <row r="13" spans="2:30" ht="20.149999999999999" customHeight="1">
      <c r="E13" s="42" t="s">
        <v>30</v>
      </c>
      <c r="F13" s="73">
        <f t="shared" si="0"/>
        <v>0</v>
      </c>
      <c r="G13" s="41"/>
      <c r="H13" s="41"/>
      <c r="I13" s="41"/>
      <c r="J13" s="41"/>
      <c r="K13" s="41"/>
      <c r="L13" s="41"/>
      <c r="M13" s="41"/>
      <c r="N13" s="40"/>
      <c r="O13" s="23"/>
      <c r="P13" s="23"/>
      <c r="U13" s="22" t="s">
        <v>2</v>
      </c>
      <c r="V13" s="22">
        <v>0.04</v>
      </c>
      <c r="W13" s="22">
        <v>4</v>
      </c>
    </row>
    <row r="14" spans="2:30" ht="20.149999999999999" customHeight="1">
      <c r="E14" s="38" t="s">
        <v>31</v>
      </c>
      <c r="F14" s="73">
        <f t="shared" ref="F14:N14" si="1">0.05*F9</f>
        <v>0</v>
      </c>
      <c r="G14" s="73">
        <f t="shared" si="1"/>
        <v>0</v>
      </c>
      <c r="H14" s="73">
        <f t="shared" si="1"/>
        <v>0</v>
      </c>
      <c r="I14" s="73">
        <f t="shared" si="1"/>
        <v>0</v>
      </c>
      <c r="J14" s="73">
        <f t="shared" si="1"/>
        <v>0</v>
      </c>
      <c r="K14" s="73">
        <f t="shared" si="1"/>
        <v>0</v>
      </c>
      <c r="L14" s="73">
        <f t="shared" si="1"/>
        <v>0</v>
      </c>
      <c r="M14" s="73">
        <f t="shared" si="1"/>
        <v>0</v>
      </c>
      <c r="N14" s="77">
        <f t="shared" si="1"/>
        <v>0</v>
      </c>
      <c r="O14" s="23"/>
      <c r="P14" s="23"/>
      <c r="U14" s="22" t="s">
        <v>3</v>
      </c>
      <c r="V14" s="22">
        <v>0.03</v>
      </c>
      <c r="W14" s="22">
        <v>3</v>
      </c>
    </row>
    <row r="15" spans="2:30" ht="20.149999999999999" customHeight="1">
      <c r="E15" s="39" t="s">
        <v>32</v>
      </c>
      <c r="F15" s="73">
        <f t="shared" ref="F15:N15" si="2">F9*0.1</f>
        <v>0</v>
      </c>
      <c r="G15" s="73">
        <f t="shared" si="2"/>
        <v>0</v>
      </c>
      <c r="H15" s="73">
        <f t="shared" si="2"/>
        <v>0</v>
      </c>
      <c r="I15" s="73">
        <f t="shared" si="2"/>
        <v>0</v>
      </c>
      <c r="J15" s="73">
        <f t="shared" si="2"/>
        <v>0</v>
      </c>
      <c r="K15" s="73">
        <f t="shared" si="2"/>
        <v>0</v>
      </c>
      <c r="L15" s="73">
        <f t="shared" si="2"/>
        <v>0</v>
      </c>
      <c r="M15" s="73">
        <f t="shared" si="2"/>
        <v>0</v>
      </c>
      <c r="N15" s="77">
        <f t="shared" si="2"/>
        <v>0</v>
      </c>
      <c r="O15" s="23"/>
      <c r="P15" s="23"/>
      <c r="U15" s="22" t="s">
        <v>0</v>
      </c>
    </row>
    <row r="16" spans="2:30" ht="19.5" customHeight="1">
      <c r="E16" s="38" t="str">
        <f>"Vacancy (% of income based on province)"</f>
        <v>Vacancy (% of income based on province)</v>
      </c>
      <c r="F16" s="73">
        <f>F9*$Q$4</f>
        <v>0</v>
      </c>
      <c r="G16" s="73">
        <f>G9*$Q$4</f>
        <v>0</v>
      </c>
      <c r="H16" s="73">
        <f>H9*Q8</f>
        <v>0</v>
      </c>
      <c r="I16" s="73">
        <f>I9*Q12</f>
        <v>0</v>
      </c>
      <c r="J16" s="73">
        <f>J9*Q16</f>
        <v>0</v>
      </c>
      <c r="K16" s="73">
        <f>K9*Q20</f>
        <v>0</v>
      </c>
      <c r="L16" s="73">
        <f>L9*Q24</f>
        <v>0</v>
      </c>
      <c r="M16" s="73">
        <f>M9*Q28</f>
        <v>0</v>
      </c>
      <c r="N16" s="77">
        <f>N9*Q32</f>
        <v>0</v>
      </c>
      <c r="O16" s="23"/>
      <c r="P16" s="23"/>
      <c r="Q16" s="25">
        <f>IFERROR(VLOOKUP($J$4,U16:V18,2,FALSE),"0")</f>
        <v>0.05</v>
      </c>
      <c r="R16" s="21">
        <f>IFERROR(VLOOKUP($J$4,U16:W18,3,FALSE),"?")</f>
        <v>5</v>
      </c>
      <c r="U16" s="22" t="s">
        <v>1</v>
      </c>
      <c r="V16" s="22">
        <v>0.05</v>
      </c>
      <c r="W16" s="22">
        <v>5</v>
      </c>
    </row>
    <row r="17" spans="5:23" ht="18.75" customHeight="1">
      <c r="E17" s="37" t="s">
        <v>33</v>
      </c>
      <c r="F17" s="73">
        <f t="shared" ref="F17:N17" si="3">SUM(F10:F16)</f>
        <v>0</v>
      </c>
      <c r="G17" s="73">
        <f t="shared" si="3"/>
        <v>0</v>
      </c>
      <c r="H17" s="73">
        <f t="shared" si="3"/>
        <v>0</v>
      </c>
      <c r="I17" s="73">
        <f t="shared" si="3"/>
        <v>0</v>
      </c>
      <c r="J17" s="73">
        <f t="shared" si="3"/>
        <v>0</v>
      </c>
      <c r="K17" s="73">
        <f t="shared" si="3"/>
        <v>0</v>
      </c>
      <c r="L17" s="73">
        <f t="shared" si="3"/>
        <v>0</v>
      </c>
      <c r="M17" s="73">
        <f t="shared" si="3"/>
        <v>0</v>
      </c>
      <c r="N17" s="77">
        <f t="shared" si="3"/>
        <v>0</v>
      </c>
      <c r="O17" s="23"/>
      <c r="P17" s="23"/>
      <c r="U17" s="22" t="s">
        <v>2</v>
      </c>
      <c r="V17" s="22">
        <v>0.04</v>
      </c>
      <c r="W17" s="22">
        <v>4</v>
      </c>
    </row>
    <row r="18" spans="5:23" ht="20.149999999999999" customHeight="1">
      <c r="E18" s="33" t="s">
        <v>34</v>
      </c>
      <c r="F18" s="74" t="str">
        <f t="shared" ref="F18:N18" si="4">IFERROR(F9/F17,"$0")</f>
        <v>$0</v>
      </c>
      <c r="G18" s="74" t="str">
        <f t="shared" si="4"/>
        <v>$0</v>
      </c>
      <c r="H18" s="74" t="str">
        <f t="shared" si="4"/>
        <v>$0</v>
      </c>
      <c r="I18" s="74" t="str">
        <f t="shared" si="4"/>
        <v>$0</v>
      </c>
      <c r="J18" s="74" t="str">
        <f t="shared" si="4"/>
        <v>$0</v>
      </c>
      <c r="K18" s="74" t="str">
        <f t="shared" si="4"/>
        <v>$0</v>
      </c>
      <c r="L18" s="74" t="str">
        <f t="shared" si="4"/>
        <v>$0</v>
      </c>
      <c r="M18" s="74" t="str">
        <f t="shared" si="4"/>
        <v>$0</v>
      </c>
      <c r="N18" s="76" t="str">
        <f t="shared" si="4"/>
        <v>$0</v>
      </c>
      <c r="O18" s="36"/>
      <c r="P18" s="36"/>
      <c r="U18" s="22" t="s">
        <v>3</v>
      </c>
      <c r="V18" s="22">
        <v>0.03</v>
      </c>
      <c r="W18" s="22">
        <v>3</v>
      </c>
    </row>
    <row r="19" spans="5:23" ht="20.149999999999999" customHeight="1">
      <c r="E19" s="35" t="s">
        <v>35</v>
      </c>
      <c r="F19" s="72">
        <f t="shared" ref="F19:N19" si="5">F9-F17</f>
        <v>0</v>
      </c>
      <c r="G19" s="72">
        <f t="shared" si="5"/>
        <v>0</v>
      </c>
      <c r="H19" s="72">
        <f t="shared" si="5"/>
        <v>0</v>
      </c>
      <c r="I19" s="72">
        <f t="shared" si="5"/>
        <v>0</v>
      </c>
      <c r="J19" s="72">
        <f t="shared" si="5"/>
        <v>0</v>
      </c>
      <c r="K19" s="72">
        <f t="shared" si="5"/>
        <v>0</v>
      </c>
      <c r="L19" s="72">
        <f t="shared" si="5"/>
        <v>0</v>
      </c>
      <c r="M19" s="72">
        <f t="shared" si="5"/>
        <v>0</v>
      </c>
      <c r="N19" s="78">
        <f t="shared" si="5"/>
        <v>0</v>
      </c>
      <c r="O19" s="34"/>
      <c r="P19" s="34"/>
      <c r="U19" s="22" t="s">
        <v>0</v>
      </c>
    </row>
    <row r="20" spans="5:23" ht="20.149999999999999" customHeight="1">
      <c r="E20" s="33" t="s">
        <v>36</v>
      </c>
      <c r="F20" s="74" t="str">
        <f t="shared" ref="F20:N20" si="6">IFERROR((F7+F8)/F6,"$0")</f>
        <v>$0</v>
      </c>
      <c r="G20" s="74" t="str">
        <f t="shared" si="6"/>
        <v>$0</v>
      </c>
      <c r="H20" s="74" t="str">
        <f t="shared" si="6"/>
        <v>$0</v>
      </c>
      <c r="I20" s="74" t="str">
        <f t="shared" si="6"/>
        <v>$0</v>
      </c>
      <c r="J20" s="74" t="str">
        <f t="shared" si="6"/>
        <v>$0</v>
      </c>
      <c r="K20" s="74" t="str">
        <f t="shared" si="6"/>
        <v>$0</v>
      </c>
      <c r="L20" s="74" t="str">
        <f t="shared" si="6"/>
        <v>$0</v>
      </c>
      <c r="M20" s="74" t="str">
        <f t="shared" si="6"/>
        <v>$0</v>
      </c>
      <c r="N20" s="76" t="str">
        <f t="shared" si="6"/>
        <v>$0</v>
      </c>
      <c r="Q20" s="25">
        <f>IFERROR(VLOOKUP($K$4,U20:V22,2,FALSE),"0")</f>
        <v>0.05</v>
      </c>
      <c r="R20" s="21">
        <f>IFERROR(VLOOKUP($K$4,U20:W22,3,FALSE),"?")</f>
        <v>5</v>
      </c>
      <c r="U20" s="22" t="s">
        <v>1</v>
      </c>
      <c r="V20" s="22">
        <v>0.05</v>
      </c>
      <c r="W20" s="22">
        <v>5</v>
      </c>
    </row>
    <row r="21" spans="5:23" ht="18" customHeight="1" thickBot="1">
      <c r="E21" s="32" t="s">
        <v>37</v>
      </c>
      <c r="F21" s="75">
        <f>SUM(G21:N21)</f>
        <v>0</v>
      </c>
      <c r="G21" s="79">
        <f t="shared" ref="G21:N21" si="7">G6-(G7+G8)</f>
        <v>0</v>
      </c>
      <c r="H21" s="79">
        <f t="shared" si="7"/>
        <v>0</v>
      </c>
      <c r="I21" s="79">
        <f t="shared" si="7"/>
        <v>0</v>
      </c>
      <c r="J21" s="79">
        <f t="shared" si="7"/>
        <v>0</v>
      </c>
      <c r="K21" s="79">
        <f t="shared" si="7"/>
        <v>0</v>
      </c>
      <c r="L21" s="79">
        <f t="shared" si="7"/>
        <v>0</v>
      </c>
      <c r="M21" s="79">
        <f t="shared" si="7"/>
        <v>0</v>
      </c>
      <c r="N21" s="80">
        <f t="shared" si="7"/>
        <v>0</v>
      </c>
      <c r="U21" s="22" t="s">
        <v>2</v>
      </c>
      <c r="V21" s="22">
        <v>0.04</v>
      </c>
      <c r="W21" s="22">
        <v>4</v>
      </c>
    </row>
    <row r="22" spans="5:23" ht="12.75" customHeight="1">
      <c r="E22" s="31"/>
      <c r="U22" s="22" t="s">
        <v>3</v>
      </c>
      <c r="V22" s="22">
        <v>0.03</v>
      </c>
      <c r="W22" s="22">
        <v>3</v>
      </c>
    </row>
    <row r="23" spans="5:23" ht="13">
      <c r="E23" s="30" t="s">
        <v>38</v>
      </c>
      <c r="F23" s="29" t="s">
        <v>39</v>
      </c>
      <c r="U23" s="22" t="s">
        <v>0</v>
      </c>
    </row>
    <row r="24" spans="5:23" ht="13">
      <c r="E24" s="29"/>
      <c r="Q24" s="25" t="str">
        <f>IFERROR(VLOOKUP($L$4,U24:V26,2,FALSE),"0")</f>
        <v>0</v>
      </c>
      <c r="R24" s="21" t="str">
        <f>IFERROR(VLOOKUP($L$4,U24:W26,3,FALSE),"?")</f>
        <v>?</v>
      </c>
      <c r="U24" s="22" t="s">
        <v>1</v>
      </c>
      <c r="V24" s="22">
        <v>0.05</v>
      </c>
      <c r="W24" s="22">
        <v>5</v>
      </c>
    </row>
    <row r="25" spans="5:23" ht="13" thickBot="1">
      <c r="U25" s="22" t="s">
        <v>2</v>
      </c>
      <c r="V25" s="22">
        <v>0.04</v>
      </c>
      <c r="W25" s="22">
        <v>4</v>
      </c>
    </row>
    <row r="26" spans="5:23" ht="41.25" customHeight="1">
      <c r="F26" s="67" t="s">
        <v>40</v>
      </c>
      <c r="G26" s="68" t="s">
        <v>41</v>
      </c>
      <c r="H26" s="68" t="s">
        <v>41</v>
      </c>
      <c r="I26" s="68" t="s">
        <v>41</v>
      </c>
      <c r="J26" s="68" t="s">
        <v>41</v>
      </c>
      <c r="K26" s="68" t="s">
        <v>41</v>
      </c>
      <c r="L26" s="68" t="s">
        <v>41</v>
      </c>
      <c r="M26" s="68" t="s">
        <v>41</v>
      </c>
      <c r="N26" s="69" t="s">
        <v>41</v>
      </c>
      <c r="U26" s="22" t="s">
        <v>3</v>
      </c>
      <c r="V26" s="22">
        <v>0.03</v>
      </c>
      <c r="W26" s="22">
        <v>3</v>
      </c>
    </row>
    <row r="27" spans="5:23" ht="49.5" customHeight="1">
      <c r="F27" s="70" t="s">
        <v>42</v>
      </c>
      <c r="G27" s="61"/>
      <c r="H27" s="61"/>
      <c r="I27" s="61"/>
      <c r="J27" s="61"/>
      <c r="K27" s="61"/>
      <c r="L27" s="61"/>
      <c r="M27" s="61"/>
      <c r="N27" s="62"/>
      <c r="U27" s="22" t="s">
        <v>0</v>
      </c>
    </row>
    <row r="28" spans="5:23" ht="45" customHeight="1">
      <c r="F28" s="70" t="s">
        <v>43</v>
      </c>
      <c r="G28" s="61"/>
      <c r="H28" s="61"/>
      <c r="I28" s="61"/>
      <c r="J28" s="61"/>
      <c r="K28" s="61"/>
      <c r="L28" s="61"/>
      <c r="M28" s="61"/>
      <c r="N28" s="62"/>
      <c r="Q28" s="25" t="str">
        <f>IFERROR(VLOOKUP($M$4,U28:V30,2,FALSE),"0")</f>
        <v>0</v>
      </c>
      <c r="R28" s="21" t="str">
        <f>IFERROR(VLOOKUP($M$4,U28:W30,3,FALSE),"?")</f>
        <v>?</v>
      </c>
      <c r="U28" s="22" t="s">
        <v>1</v>
      </c>
      <c r="V28" s="22">
        <v>0.05</v>
      </c>
      <c r="W28" s="22">
        <v>5</v>
      </c>
    </row>
    <row r="29" spans="5:23" ht="44.25" customHeight="1">
      <c r="F29" s="70" t="s">
        <v>44</v>
      </c>
      <c r="G29" s="61"/>
      <c r="H29" s="61"/>
      <c r="I29" s="61"/>
      <c r="J29" s="61"/>
      <c r="K29" s="61"/>
      <c r="L29" s="61"/>
      <c r="M29" s="61"/>
      <c r="N29" s="62"/>
      <c r="U29" s="22" t="s">
        <v>2</v>
      </c>
      <c r="V29" s="22">
        <v>0.04</v>
      </c>
      <c r="W29" s="22">
        <v>4</v>
      </c>
    </row>
    <row r="30" spans="5:23" ht="164.25" customHeight="1">
      <c r="F30" s="70" t="s">
        <v>45</v>
      </c>
      <c r="G30" s="61"/>
      <c r="H30" s="61"/>
      <c r="I30" s="61"/>
      <c r="J30" s="61"/>
      <c r="K30" s="61"/>
      <c r="L30" s="61"/>
      <c r="M30" s="61"/>
      <c r="N30" s="62"/>
      <c r="U30" s="22" t="s">
        <v>3</v>
      </c>
      <c r="V30" s="22">
        <v>0.03</v>
      </c>
      <c r="W30" s="22">
        <v>3</v>
      </c>
    </row>
    <row r="31" spans="5:23" ht="47.25" customHeight="1">
      <c r="F31" s="70" t="s">
        <v>46</v>
      </c>
      <c r="G31" s="61"/>
      <c r="H31" s="61"/>
      <c r="I31" s="61"/>
      <c r="J31" s="61"/>
      <c r="K31" s="61"/>
      <c r="L31" s="61"/>
      <c r="M31" s="61"/>
      <c r="N31" s="62"/>
      <c r="U31" s="22" t="s">
        <v>0</v>
      </c>
    </row>
    <row r="32" spans="5:23" ht="52.5" customHeight="1" thickBot="1">
      <c r="F32" s="71" t="s">
        <v>5</v>
      </c>
      <c r="G32" s="63"/>
      <c r="H32" s="63"/>
      <c r="I32" s="63"/>
      <c r="J32" s="63"/>
      <c r="K32" s="63"/>
      <c r="L32" s="63"/>
      <c r="M32" s="63"/>
      <c r="N32" s="64"/>
      <c r="Q32" s="25" t="str">
        <f>IFERROR(VLOOKUP($N$4,U32:V34,2,FALSE),"0")</f>
        <v>0</v>
      </c>
      <c r="R32" s="21" t="str">
        <f>IFERROR(VLOOKUP($N$4,U32:W34,3,FALSE),"?")</f>
        <v>?</v>
      </c>
      <c r="U32" s="22" t="s">
        <v>1</v>
      </c>
      <c r="V32" s="22">
        <v>0.05</v>
      </c>
      <c r="W32" s="22">
        <v>5</v>
      </c>
    </row>
    <row r="33" spans="5:23">
      <c r="G33" s="21"/>
      <c r="H33" s="21"/>
      <c r="I33" s="21"/>
      <c r="J33" s="21"/>
      <c r="K33" s="21"/>
      <c r="L33" s="21"/>
      <c r="M33" s="21"/>
      <c r="N33" s="21"/>
      <c r="U33" s="22" t="s">
        <v>2</v>
      </c>
      <c r="V33" s="22">
        <v>0.04</v>
      </c>
      <c r="W33" s="22">
        <v>4</v>
      </c>
    </row>
    <row r="34" spans="5:23">
      <c r="U34" s="22" t="s">
        <v>3</v>
      </c>
      <c r="V34" s="22">
        <v>0.03</v>
      </c>
      <c r="W34" s="22">
        <v>3</v>
      </c>
    </row>
    <row r="36" spans="5:23">
      <c r="E36" s="23"/>
      <c r="F36" s="23"/>
    </row>
    <row r="37" spans="5:23">
      <c r="E37" s="23"/>
      <c r="F37" s="23"/>
    </row>
    <row r="38" spans="5:23">
      <c r="E38" s="23"/>
      <c r="F38" s="23"/>
    </row>
    <row r="39" spans="5:23">
      <c r="E39" s="23"/>
      <c r="F39" s="23"/>
    </row>
    <row r="40" spans="5:23">
      <c r="E40" s="23"/>
      <c r="F40" s="23"/>
    </row>
    <row r="41" spans="5:23">
      <c r="E41" s="23"/>
      <c r="F41" s="23"/>
    </row>
    <row r="42" spans="5:23">
      <c r="E42" s="23"/>
      <c r="F42" s="23"/>
    </row>
    <row r="43" spans="5:23">
      <c r="E43" s="23"/>
      <c r="F43" s="23"/>
    </row>
    <row r="44" spans="5:23">
      <c r="E44" s="23"/>
      <c r="F44" s="23"/>
    </row>
    <row r="45" spans="5:23">
      <c r="E45" s="23"/>
      <c r="F45" s="23"/>
    </row>
  </sheetData>
  <mergeCells count="4">
    <mergeCell ref="G2:N2"/>
    <mergeCell ref="E5:F5"/>
    <mergeCell ref="E4:F4"/>
    <mergeCell ref="B2:C2"/>
  </mergeCells>
  <conditionalFormatting sqref="F19">
    <cfRule type="cellIs" dxfId="16" priority="1" operator="lessThan">
      <formula>0</formula>
    </cfRule>
    <cfRule type="cellIs" dxfId="15" priority="2" operator="greaterThan">
      <formula>0</formula>
    </cfRule>
  </conditionalFormatting>
  <dataValidations count="1">
    <dataValidation type="list" allowBlank="1" showInputMessage="1" showErrorMessage="1" sqref="G4:N4" xr:uid="{4A6C2724-99B3-4549-979A-3C8C55F03638}">
      <formula1>$U$3:$U$6</formula1>
    </dataValidation>
  </dataValidations>
  <pageMargins left="0.75" right="0.75" top="1" bottom="1" header="0.5" footer="0.5"/>
  <pageSetup scale="66" orientation="landscape" r:id="rId1"/>
  <headerFooter alignWithMargins="0">
    <oddHeader>&amp;CDCR CALCULATOR&amp;R&amp;"Calibri"&amp;12&amp;K008292 Internal Use&amp;1#_x000D_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9FF99"/>
  </sheetPr>
  <dimension ref="A4:S56"/>
  <sheetViews>
    <sheetView topLeftCell="C38" workbookViewId="0">
      <selection activeCell="A49" sqref="A49"/>
    </sheetView>
  </sheetViews>
  <sheetFormatPr defaultRowHeight="14.5"/>
  <cols>
    <col min="1" max="1" width="9.7265625" bestFit="1" customWidth="1"/>
    <col min="3" max="3" width="20.453125" customWidth="1"/>
    <col min="5" max="5" width="28.54296875" bestFit="1" customWidth="1"/>
    <col min="6" max="6" width="10.26953125" customWidth="1"/>
    <col min="7" max="7" width="10.453125" customWidth="1"/>
    <col min="10" max="10" width="29.7265625" customWidth="1"/>
    <col min="12" max="12" width="13.54296875" customWidth="1"/>
    <col min="13" max="13" width="36" customWidth="1"/>
    <col min="16" max="16" width="25.54296875" bestFit="1" customWidth="1"/>
  </cols>
  <sheetData>
    <row r="4" spans="3:16">
      <c r="C4" s="16"/>
    </row>
    <row r="5" spans="3:16">
      <c r="I5" t="s">
        <v>50</v>
      </c>
    </row>
    <row r="6" spans="3:16">
      <c r="P6" t="s">
        <v>51</v>
      </c>
    </row>
    <row r="7" spans="3:16">
      <c r="C7" t="s">
        <v>52</v>
      </c>
      <c r="I7" t="s">
        <v>53</v>
      </c>
      <c r="J7" s="11" t="s">
        <v>54</v>
      </c>
      <c r="L7" s="9" t="s">
        <v>55</v>
      </c>
      <c r="M7" s="11" t="s">
        <v>56</v>
      </c>
    </row>
    <row r="8" spans="3:16">
      <c r="C8" t="s">
        <v>57</v>
      </c>
      <c r="F8" s="2" t="s">
        <v>52</v>
      </c>
      <c r="I8" t="s">
        <v>58</v>
      </c>
      <c r="J8" s="11" t="s">
        <v>59</v>
      </c>
      <c r="L8" s="9" t="s">
        <v>60</v>
      </c>
      <c r="M8" s="11" t="s">
        <v>61</v>
      </c>
      <c r="N8" t="s">
        <v>47</v>
      </c>
      <c r="P8" t="s">
        <v>62</v>
      </c>
    </row>
    <row r="9" spans="3:16" ht="15" customHeight="1">
      <c r="C9" t="s">
        <v>63</v>
      </c>
      <c r="F9" s="1" t="s">
        <v>64</v>
      </c>
      <c r="I9" t="s">
        <v>65</v>
      </c>
      <c r="J9" s="11" t="s">
        <v>66</v>
      </c>
      <c r="L9" s="13" t="s">
        <v>53</v>
      </c>
      <c r="M9" s="11" t="s">
        <v>54</v>
      </c>
      <c r="N9" t="s">
        <v>67</v>
      </c>
      <c r="P9" t="s">
        <v>68</v>
      </c>
    </row>
    <row r="10" spans="3:16" ht="15" customHeight="1">
      <c r="C10" t="s">
        <v>69</v>
      </c>
      <c r="F10" s="1" t="s">
        <v>70</v>
      </c>
      <c r="I10" t="s">
        <v>71</v>
      </c>
      <c r="J10" s="11" t="s">
        <v>72</v>
      </c>
      <c r="L10" s="9" t="s">
        <v>73</v>
      </c>
      <c r="M10" s="11" t="s">
        <v>74</v>
      </c>
      <c r="N10" t="s">
        <v>75</v>
      </c>
      <c r="P10" t="s">
        <v>76</v>
      </c>
    </row>
    <row r="11" spans="3:16">
      <c r="C11" t="s">
        <v>77</v>
      </c>
      <c r="F11" s="3" t="s">
        <v>78</v>
      </c>
      <c r="I11" t="s">
        <v>79</v>
      </c>
      <c r="J11" s="11" t="s">
        <v>80</v>
      </c>
      <c r="L11" s="9" t="s">
        <v>81</v>
      </c>
      <c r="M11" s="11" t="s">
        <v>82</v>
      </c>
      <c r="P11" t="s">
        <v>83</v>
      </c>
    </row>
    <row r="12" spans="3:16">
      <c r="C12" t="s">
        <v>84</v>
      </c>
      <c r="I12" t="s">
        <v>85</v>
      </c>
      <c r="J12" s="11" t="s">
        <v>86</v>
      </c>
      <c r="L12" s="9" t="s">
        <v>87</v>
      </c>
      <c r="M12" s="11" t="s">
        <v>88</v>
      </c>
      <c r="P12" t="s">
        <v>89</v>
      </c>
    </row>
    <row r="13" spans="3:16" ht="15.5">
      <c r="I13" t="s">
        <v>90</v>
      </c>
      <c r="J13" s="11" t="s">
        <v>91</v>
      </c>
      <c r="L13" s="13" t="s">
        <v>92</v>
      </c>
      <c r="M13" s="11" t="s">
        <v>93</v>
      </c>
      <c r="O13" t="s">
        <v>84</v>
      </c>
      <c r="P13" t="s">
        <v>94</v>
      </c>
    </row>
    <row r="14" spans="3:16">
      <c r="L14" s="9" t="s">
        <v>95</v>
      </c>
      <c r="M14" s="11" t="s">
        <v>59</v>
      </c>
      <c r="O14" t="s">
        <v>96</v>
      </c>
      <c r="P14" t="s">
        <v>97</v>
      </c>
    </row>
    <row r="15" spans="3:16">
      <c r="L15" s="9" t="s">
        <v>98</v>
      </c>
      <c r="M15" s="11" t="s">
        <v>99</v>
      </c>
      <c r="O15" t="s">
        <v>100</v>
      </c>
      <c r="P15" t="s">
        <v>101</v>
      </c>
    </row>
    <row r="16" spans="3:16">
      <c r="L16" s="9" t="s">
        <v>102</v>
      </c>
      <c r="M16" s="11" t="s">
        <v>103</v>
      </c>
      <c r="O16" t="s">
        <v>104</v>
      </c>
      <c r="P16" t="s">
        <v>105</v>
      </c>
    </row>
    <row r="17" spans="1:19">
      <c r="B17" t="s">
        <v>106</v>
      </c>
      <c r="D17" t="s">
        <v>107</v>
      </c>
      <c r="H17" t="s">
        <v>108</v>
      </c>
      <c r="L17" s="9" t="s">
        <v>109</v>
      </c>
      <c r="M17" s="11" t="s">
        <v>110</v>
      </c>
      <c r="O17" t="s">
        <v>111</v>
      </c>
    </row>
    <row r="18" spans="1:19">
      <c r="B18" t="s">
        <v>112</v>
      </c>
      <c r="D18" t="s">
        <v>113</v>
      </c>
      <c r="H18" t="s">
        <v>114</v>
      </c>
      <c r="L18" s="9" t="s">
        <v>115</v>
      </c>
      <c r="M18" s="11" t="s">
        <v>116</v>
      </c>
      <c r="O18" t="s">
        <v>117</v>
      </c>
    </row>
    <row r="19" spans="1:19">
      <c r="D19" t="s">
        <v>118</v>
      </c>
      <c r="L19" s="9" t="s">
        <v>85</v>
      </c>
      <c r="M19" s="11" t="s">
        <v>86</v>
      </c>
    </row>
    <row r="20" spans="1:19" ht="15.5">
      <c r="D20" t="s">
        <v>119</v>
      </c>
      <c r="L20" s="13" t="s">
        <v>65</v>
      </c>
      <c r="M20" s="11" t="s">
        <v>66</v>
      </c>
    </row>
    <row r="21" spans="1:19">
      <c r="L21" s="9" t="s">
        <v>71</v>
      </c>
      <c r="M21" s="11" t="s">
        <v>72</v>
      </c>
    </row>
    <row r="22" spans="1:19">
      <c r="L22" s="9" t="s">
        <v>120</v>
      </c>
      <c r="M22" s="11" t="s">
        <v>121</v>
      </c>
    </row>
    <row r="23" spans="1:19">
      <c r="L23" s="9" t="s">
        <v>79</v>
      </c>
      <c r="M23" s="11" t="s">
        <v>80</v>
      </c>
    </row>
    <row r="24" spans="1:19">
      <c r="L24" s="9" t="s">
        <v>122</v>
      </c>
      <c r="M24" s="11" t="s">
        <v>123</v>
      </c>
    </row>
    <row r="25" spans="1:19">
      <c r="L25" s="9" t="s">
        <v>124</v>
      </c>
      <c r="M25" s="11" t="s">
        <v>125</v>
      </c>
    </row>
    <row r="26" spans="1:19">
      <c r="A26" s="10" t="s">
        <v>126</v>
      </c>
      <c r="B26" s="19" t="s">
        <v>52</v>
      </c>
      <c r="C26" s="19" t="s">
        <v>127</v>
      </c>
      <c r="D26" s="19" t="s">
        <v>128</v>
      </c>
      <c r="E26" s="19" t="s">
        <v>129</v>
      </c>
      <c r="L26" s="9" t="s">
        <v>130</v>
      </c>
      <c r="M26" s="11" t="s">
        <v>131</v>
      </c>
    </row>
    <row r="27" spans="1:19">
      <c r="A27" s="4" t="s">
        <v>132</v>
      </c>
      <c r="B27" s="4"/>
      <c r="C27" s="14"/>
      <c r="D27" s="14"/>
      <c r="E27" s="12" t="s">
        <v>133</v>
      </c>
      <c r="L27" s="9" t="s">
        <v>90</v>
      </c>
      <c r="M27" s="11" t="s">
        <v>91</v>
      </c>
    </row>
    <row r="28" spans="1:19">
      <c r="A28" s="4" t="s">
        <v>134</v>
      </c>
      <c r="B28" s="20"/>
      <c r="C28" s="8"/>
      <c r="D28" s="8"/>
      <c r="E28" s="12" t="s">
        <v>135</v>
      </c>
      <c r="L28" s="9" t="s">
        <v>136</v>
      </c>
      <c r="M28" s="11" t="s">
        <v>137</v>
      </c>
    </row>
    <row r="29" spans="1:19">
      <c r="A29" s="4" t="s">
        <v>138</v>
      </c>
      <c r="B29" s="4"/>
      <c r="C29" s="8"/>
      <c r="D29" s="8"/>
      <c r="E29" s="12" t="s">
        <v>139</v>
      </c>
      <c r="L29" s="9" t="s">
        <v>140</v>
      </c>
      <c r="M29" s="11" t="s">
        <v>141</v>
      </c>
    </row>
    <row r="30" spans="1:19" ht="15.5">
      <c r="A30" s="4" t="s">
        <v>142</v>
      </c>
      <c r="B30" s="4"/>
      <c r="C30" s="8"/>
      <c r="D30" s="8"/>
      <c r="E30" s="12" t="s">
        <v>143</v>
      </c>
      <c r="L30" s="13" t="s">
        <v>144</v>
      </c>
      <c r="M30" s="11" t="s">
        <v>145</v>
      </c>
    </row>
    <row r="31" spans="1:19">
      <c r="A31" s="4" t="s">
        <v>146</v>
      </c>
      <c r="B31" s="4"/>
      <c r="C31" s="8"/>
      <c r="D31" s="8"/>
      <c r="E31" s="12" t="s">
        <v>147</v>
      </c>
      <c r="L31" s="9" t="s">
        <v>148</v>
      </c>
      <c r="M31" s="11" t="s">
        <v>149</v>
      </c>
      <c r="P31" t="e">
        <f>#REF!:INDEX(#REF!,MAX(#REF!),1)</f>
        <v>#REF!</v>
      </c>
    </row>
    <row r="32" spans="1:19">
      <c r="A32" s="5" t="s">
        <v>150</v>
      </c>
      <c r="B32" s="4"/>
      <c r="C32" s="8"/>
      <c r="D32" s="8"/>
      <c r="E32" s="12" t="s">
        <v>151</v>
      </c>
      <c r="S32">
        <f>$D$28:INDEX($D$28:$D$47,MAX($C$28:$C$47),1)</f>
        <v>0</v>
      </c>
    </row>
    <row r="33" spans="1:16">
      <c r="A33" s="4" t="s">
        <v>152</v>
      </c>
      <c r="B33" s="4"/>
      <c r="C33" s="8" t="str">
        <f>IF(B33=1,COUNTIF($B$27:B33,1),"")</f>
        <v/>
      </c>
      <c r="D33" s="8"/>
      <c r="E33" s="12" t="s">
        <v>153</v>
      </c>
      <c r="L33" t="s">
        <v>154</v>
      </c>
    </row>
    <row r="34" spans="1:16">
      <c r="A34" s="6" t="s">
        <v>155</v>
      </c>
      <c r="B34" s="4"/>
      <c r="C34" s="8"/>
      <c r="D34" s="8"/>
      <c r="E34" s="12" t="s">
        <v>156</v>
      </c>
      <c r="L34" t="s">
        <v>157</v>
      </c>
    </row>
    <row r="35" spans="1:16">
      <c r="A35" s="4" t="s">
        <v>158</v>
      </c>
      <c r="B35" s="4"/>
      <c r="C35" s="14"/>
      <c r="D35" s="8"/>
      <c r="E35" s="12" t="s">
        <v>159</v>
      </c>
      <c r="L35" t="s">
        <v>160</v>
      </c>
    </row>
    <row r="36" spans="1:16">
      <c r="A36" s="7" t="s">
        <v>84</v>
      </c>
      <c r="B36" s="4"/>
      <c r="C36" s="8"/>
      <c r="D36" s="8"/>
      <c r="E36" s="12" t="s">
        <v>84</v>
      </c>
      <c r="L36" t="s">
        <v>161</v>
      </c>
    </row>
    <row r="37" spans="1:16">
      <c r="A37" s="4" t="s">
        <v>162</v>
      </c>
      <c r="B37" s="4"/>
      <c r="C37" s="14"/>
      <c r="D37" s="14"/>
      <c r="E37" s="12" t="s">
        <v>163</v>
      </c>
      <c r="I37" t="s">
        <v>57</v>
      </c>
      <c r="L37" t="s">
        <v>84</v>
      </c>
    </row>
    <row r="38" spans="1:16">
      <c r="A38" s="8" t="s">
        <v>164</v>
      </c>
      <c r="B38" s="4"/>
      <c r="C38" s="14"/>
      <c r="D38" s="14"/>
      <c r="E38" s="12" t="s">
        <v>165</v>
      </c>
      <c r="I38" t="s">
        <v>166</v>
      </c>
    </row>
    <row r="39" spans="1:16">
      <c r="A39" s="8" t="s">
        <v>140</v>
      </c>
      <c r="B39" s="4"/>
      <c r="C39" s="8"/>
      <c r="D39" s="8"/>
      <c r="E39" s="12" t="s">
        <v>167</v>
      </c>
      <c r="I39" t="s">
        <v>168</v>
      </c>
      <c r="L39" t="s">
        <v>48</v>
      </c>
    </row>
    <row r="40" spans="1:16">
      <c r="A40" s="6" t="s">
        <v>169</v>
      </c>
      <c r="B40" s="6"/>
      <c r="C40" s="8"/>
      <c r="D40" s="8"/>
      <c r="E40" s="12" t="s">
        <v>170</v>
      </c>
      <c r="I40" t="s">
        <v>171</v>
      </c>
      <c r="L40" t="s">
        <v>49</v>
      </c>
      <c r="P40" s="17" t="s">
        <v>172</v>
      </c>
    </row>
    <row r="41" spans="1:16">
      <c r="A41" s="4" t="s">
        <v>173</v>
      </c>
      <c r="B41" s="4"/>
      <c r="C41" s="8"/>
      <c r="D41" s="8"/>
      <c r="E41" s="12" t="s">
        <v>174</v>
      </c>
      <c r="I41" t="s">
        <v>175</v>
      </c>
      <c r="P41" s="18" t="s">
        <v>176</v>
      </c>
    </row>
    <row r="42" spans="1:16">
      <c r="A42" s="4" t="s">
        <v>144</v>
      </c>
      <c r="B42" s="4"/>
      <c r="C42" s="8"/>
      <c r="D42" s="8"/>
      <c r="E42" s="12" t="s">
        <v>177</v>
      </c>
      <c r="I42" t="s">
        <v>84</v>
      </c>
      <c r="P42" s="18" t="s">
        <v>178</v>
      </c>
    </row>
    <row r="43" spans="1:16">
      <c r="A43" s="4" t="s">
        <v>179</v>
      </c>
      <c r="B43" s="4"/>
      <c r="C43" s="8"/>
      <c r="D43" s="8"/>
      <c r="E43" s="12" t="s">
        <v>180</v>
      </c>
      <c r="L43" t="s">
        <v>181</v>
      </c>
      <c r="P43" s="18" t="s">
        <v>182</v>
      </c>
    </row>
    <row r="44" spans="1:16">
      <c r="A44" s="4"/>
      <c r="B44" s="4"/>
      <c r="C44" s="8" t="str">
        <f>IF(B44=1,COUNTIF($B$27:B44,1),"")</f>
        <v/>
      </c>
      <c r="D44" s="8" t="str">
        <f>IFERROR(INDEX($A$27:$A$46,MATCH(ROWS($C$27:C44),$C$27:$C$46,0)),"")</f>
        <v/>
      </c>
      <c r="E44" s="15"/>
      <c r="I44" t="s">
        <v>183</v>
      </c>
      <c r="L44" t="s">
        <v>184</v>
      </c>
      <c r="P44" s="18" t="s">
        <v>185</v>
      </c>
    </row>
    <row r="45" spans="1:16">
      <c r="L45" t="s">
        <v>186</v>
      </c>
      <c r="P45" s="18" t="s">
        <v>187</v>
      </c>
    </row>
    <row r="46" spans="1:16">
      <c r="P46" s="18" t="s">
        <v>188</v>
      </c>
    </row>
    <row r="47" spans="1:16">
      <c r="A47" t="s">
        <v>189</v>
      </c>
      <c r="P47" s="18" t="s">
        <v>190</v>
      </c>
    </row>
    <row r="48" spans="1:16">
      <c r="A48" t="s">
        <v>191</v>
      </c>
      <c r="I48" t="s">
        <v>192</v>
      </c>
      <c r="P48" s="18" t="s">
        <v>193</v>
      </c>
    </row>
    <row r="49" spans="7:16">
      <c r="G49">
        <v>6</v>
      </c>
      <c r="I49" t="s">
        <v>64</v>
      </c>
      <c r="L49" t="s">
        <v>194</v>
      </c>
      <c r="P49" s="18" t="s">
        <v>195</v>
      </c>
    </row>
    <row r="50" spans="7:16">
      <c r="G50">
        <v>12</v>
      </c>
      <c r="I50" t="s">
        <v>70</v>
      </c>
      <c r="L50" t="s">
        <v>196</v>
      </c>
    </row>
    <row r="51" spans="7:16">
      <c r="I51" t="s">
        <v>78</v>
      </c>
      <c r="L51" t="s">
        <v>197</v>
      </c>
    </row>
    <row r="52" spans="7:16">
      <c r="I52" t="s">
        <v>198</v>
      </c>
    </row>
    <row r="56" spans="7:16">
      <c r="I56" t="s">
        <v>84</v>
      </c>
    </row>
  </sheetData>
  <sortState xmlns:xlrd2="http://schemas.microsoft.com/office/spreadsheetml/2017/richdata2" ref="L7:M31">
    <sortCondition ref="L7:L31"/>
  </sortState>
  <dataValidations count="1">
    <dataValidation type="list" allowBlank="1" showInputMessage="1" showErrorMessage="1" sqref="C8:C13" xr:uid="{00000000-0002-0000-0200-000000000000}">
      <formula1>$C$8:$C$13</formula1>
    </dataValidation>
  </dataValidations>
  <hyperlinks>
    <hyperlink ref="M9" r:id="rId1" xr:uid="{00000000-0004-0000-0200-000000000000}"/>
    <hyperlink ref="M11" r:id="rId2" xr:uid="{00000000-0004-0000-0200-000001000000}"/>
    <hyperlink ref="M13" r:id="rId3" xr:uid="{00000000-0004-0000-0200-000002000000}"/>
    <hyperlink ref="M14" r:id="rId4" xr:uid="{00000000-0004-0000-0200-000003000000}"/>
    <hyperlink ref="M16" r:id="rId5" xr:uid="{00000000-0004-0000-0200-000004000000}"/>
    <hyperlink ref="M23" r:id="rId6" xr:uid="{00000000-0004-0000-0200-000007000000}"/>
    <hyperlink ref="M25" r:id="rId7" xr:uid="{00000000-0004-0000-0200-000008000000}"/>
    <hyperlink ref="M24" r:id="rId8" xr:uid="{00000000-0004-0000-0200-00000A000000}"/>
    <hyperlink ref="M27" r:id="rId9" xr:uid="{00000000-0004-0000-0200-00000B000000}"/>
    <hyperlink ref="M22" r:id="rId10" xr:uid="{00000000-0004-0000-0200-00000C000000}"/>
    <hyperlink ref="M30" r:id="rId11" xr:uid="{00000000-0004-0000-0200-00000E000000}"/>
    <hyperlink ref="M19" r:id="rId12" xr:uid="{00000000-0004-0000-0200-00000F000000}"/>
    <hyperlink ref="E39" r:id="rId13" xr:uid="{00000000-0004-0000-0200-000010000000}"/>
    <hyperlink ref="E41" r:id="rId14" xr:uid="{00000000-0004-0000-0200-000011000000}"/>
    <hyperlink ref="E29" r:id="rId15" xr:uid="{00000000-0004-0000-0200-000013000000}"/>
    <hyperlink ref="E30" r:id="rId16" xr:uid="{00000000-0004-0000-0200-000014000000}"/>
    <hyperlink ref="E31" r:id="rId17" xr:uid="{00000000-0004-0000-0200-000015000000}"/>
    <hyperlink ref="E32" r:id="rId18" xr:uid="{00000000-0004-0000-0200-000016000000}"/>
    <hyperlink ref="E28" r:id="rId19" xr:uid="{00000000-0004-0000-0200-000018000000}"/>
    <hyperlink ref="E42" r:id="rId20" xr:uid="{00000000-0004-0000-0200-000019000000}"/>
    <hyperlink ref="E34" r:id="rId21" xr:uid="{00000000-0004-0000-0200-00001A000000}"/>
    <hyperlink ref="E43" r:id="rId22" xr:uid="{00000000-0004-0000-0200-00001B000000}"/>
    <hyperlink ref="E40" r:id="rId23" xr:uid="{00000000-0004-0000-0200-00001C000000}"/>
    <hyperlink ref="E37" r:id="rId24" xr:uid="{534B77F9-6D9B-4A0B-B9EB-6870A67226A6}"/>
    <hyperlink ref="M21" r:id="rId25" xr:uid="{00000000-0004-0000-0200-000005000000}"/>
    <hyperlink ref="M8" r:id="rId26" xr:uid="{ACFCA6F8-386A-48DE-AE12-1479B6ED9BDE}"/>
    <hyperlink ref="M31" r:id="rId27" xr:uid="{BDD705E4-B322-48F2-A080-06933D949DC8}"/>
    <hyperlink ref="E27" r:id="rId28" xr:uid="{853ED529-D567-4ABA-83B6-4B05C2F07DF9}"/>
    <hyperlink ref="M7" r:id="rId29" xr:uid="{B7F45DE0-BEF0-408C-AE08-F96E67A03058}"/>
    <hyperlink ref="M29" r:id="rId30" xr:uid="{228D63F7-8349-4F45-98AF-6DA402E80992}"/>
    <hyperlink ref="M10" r:id="rId31" xr:uid="{1889E4FA-42A2-4D6B-9383-ADCDF9EA07CA}"/>
    <hyperlink ref="M26" r:id="rId32" xr:uid="{5EC01AA9-1981-438D-8AD9-1894666729D9}"/>
    <hyperlink ref="M28" r:id="rId33" xr:uid="{060C19A9-BEB4-44DE-B5B4-59AE92184621}"/>
    <hyperlink ref="M17" r:id="rId34" xr:uid="{FE3BF083-B8C7-4BAE-B6D2-B67086C84E55}"/>
    <hyperlink ref="M15" r:id="rId35" xr:uid="{3A044B8A-727F-450B-BD39-3EC5B2AF2125}"/>
    <hyperlink ref="E38" r:id="rId36" xr:uid="{C993B3C2-0298-4828-B960-F37FF48D64C3}"/>
    <hyperlink ref="E35" r:id="rId37" xr:uid="{CD72DD61-4E14-41C6-876D-5C161D0DCC1D}"/>
    <hyperlink ref="J7" r:id="rId38" xr:uid="{2D2A9AFB-B1A6-4C5E-B115-0B11B310C132}"/>
    <hyperlink ref="J8" r:id="rId39" xr:uid="{CC2A00A9-A9B0-49A2-B444-B5914671B6E2}"/>
    <hyperlink ref="J10" r:id="rId40" xr:uid="{CE9726D2-2349-4EA0-9E3A-48800DB4D07F}"/>
    <hyperlink ref="J11" r:id="rId41" xr:uid="{97E77276-3F81-4494-BD63-2841EE985837}"/>
    <hyperlink ref="J12" r:id="rId42" xr:uid="{F6782661-9A6F-40C6-A081-83A5E1E3975D}"/>
    <hyperlink ref="J13" r:id="rId43" xr:uid="{6BE06139-176C-4BC7-9B1D-5E65B3C94322}"/>
    <hyperlink ref="E33" r:id="rId44" xr:uid="{7232541D-52BE-45CD-9A75-D6C719FCE365}"/>
  </hyperlinks>
  <pageMargins left="0.7" right="0.7" top="0.75" bottom="0.75" header="0.3" footer="0.3"/>
  <headerFooter>
    <oddHeader>&amp;R&amp;"Calibri"&amp;12&amp;K008292 Internal Use&amp;1#_x000D_</oddHeader>
  </headerFooter>
  <tableParts count="3">
    <tablePart r:id="rId45"/>
    <tablePart r:id="rId46"/>
    <tablePart r:id="rId4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4586DB952FF048ABB80CC4C50AF4E1" ma:contentTypeVersion="1" ma:contentTypeDescription="Create a new document." ma:contentTypeScope="" ma:versionID="0532438a45ca816ca27eaa61af422107">
  <xsd:schema xmlns:xsd="http://www.w3.org/2001/XMLSchema" xmlns:xs="http://www.w3.org/2001/XMLSchema" xmlns:p="http://schemas.microsoft.com/office/2006/metadata/properties" xmlns:ns2="a1224239-683c-418c-8023-44824a4e7a74" targetNamespace="http://schemas.microsoft.com/office/2006/metadata/properties" ma:root="true" ma:fieldsID="83d7dae147c77b4c30cc13f3952a2ad5" ns2:_="">
    <xsd:import namespace="a1224239-683c-418c-8023-44824a4e7a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224239-683c-418c-8023-44824a4e7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D1F5C55-5A0E-41E5-A133-B255FA0B773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74C134-8CC4-41BE-AF7A-638E0138EA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224239-683c-418c-8023-44824a4e7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48C87F-CCA7-4B17-8A24-6294232AF71C}">
  <ds:schemaRefs>
    <ds:schemaRef ds:uri="http://purl.org/dc/elements/1.1/"/>
    <ds:schemaRef ds:uri="http://www.w3.org/XML/1998/namespace"/>
    <ds:schemaRef ds:uri="a1224239-683c-418c-8023-44824a4e7a74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4e1dbe9c-67f7-4be6-a2b7-0951d57be59d}" enabled="1" method="Standard" siteId="{bbf04c3f-b0e3-4b50-bd1b-10ce0b74385d}" removed="0"/>
  <clbl:label id="{850c2325-4a28-481b-bcbc-bdd9bbee2a99}" enabled="1" method="Privileged" siteId="{c21157ca-bce3-41a8-8aa7-a23c4639610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Non-Subject Rental DCR</vt:lpstr>
      <vt:lpstr>Sheet1</vt:lpstr>
    </vt:vector>
  </TitlesOfParts>
  <Manager/>
  <Company>Canadian Western Bank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BR99 Format</dc:title>
  <dc:subject/>
  <dc:creator>CWBadmin</dc:creator>
  <cp:keywords/>
  <dc:description/>
  <cp:lastModifiedBy>Patel, Trupti</cp:lastModifiedBy>
  <cp:revision/>
  <dcterms:created xsi:type="dcterms:W3CDTF">2014-05-20T14:09:55Z</dcterms:created>
  <dcterms:modified xsi:type="dcterms:W3CDTF">2026-04-02T17:07:32Z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0x010100364586DB952FF048ABB80CC4C50AF4E1</vt:lpwstr>
  </property>
</Properties>
</file>